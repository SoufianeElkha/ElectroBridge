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d8ca20f4b260af/Hicham Bachar/PROGETTO BRIDGE/CONCORRENTI/"/>
    </mc:Choice>
  </mc:AlternateContent>
  <xr:revisionPtr revIDLastSave="56" documentId="8_{05EF9F4F-E685-46D4-9F79-8D612C2719FD}" xr6:coauthVersionLast="47" xr6:coauthVersionMax="47" xr10:uidLastSave="{A184C19D-2C7C-44DD-B1A0-01482CB57BBF}"/>
  <bookViews>
    <workbookView xWindow="-120" yWindow="-120" windowWidth="29040" windowHeight="15840" activeTab="1" xr2:uid="{8E43A769-E20F-44F4-866E-479769426CFC}"/>
  </bookViews>
  <sheets>
    <sheet name="EGE" sheetId="1" r:id="rId1"/>
    <sheet name="EG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O18" i="1"/>
  <c r="O19" i="1"/>
  <c r="O20" i="1"/>
  <c r="O21" i="1"/>
  <c r="O22" i="1"/>
  <c r="O23" i="1"/>
  <c r="O24" i="1"/>
  <c r="O25" i="1"/>
  <c r="O26" i="1"/>
  <c r="O15" i="1"/>
  <c r="M16" i="1"/>
  <c r="M17" i="1"/>
  <c r="M18" i="1"/>
  <c r="M19" i="1"/>
  <c r="M20" i="1"/>
  <c r="M21" i="1"/>
  <c r="M22" i="1"/>
  <c r="M23" i="1"/>
  <c r="M24" i="1"/>
  <c r="M25" i="1"/>
  <c r="M26" i="1"/>
  <c r="M15" i="1"/>
  <c r="O5" i="1"/>
  <c r="O6" i="1"/>
  <c r="O7" i="1"/>
  <c r="O8" i="1"/>
  <c r="O9" i="1"/>
  <c r="O10" i="1"/>
  <c r="O4" i="1"/>
  <c r="M5" i="1"/>
  <c r="M6" i="1"/>
  <c r="M7" i="1"/>
  <c r="M8" i="1"/>
  <c r="M9" i="1"/>
  <c r="M10" i="1"/>
  <c r="M4" i="1"/>
</calcChain>
</file>

<file path=xl/sharedStrings.xml><?xml version="1.0" encoding="utf-8"?>
<sst xmlns="http://schemas.openxmlformats.org/spreadsheetml/2006/main" count="181" uniqueCount="93">
  <si>
    <t>Nuovo codice quadro</t>
  </si>
  <si>
    <t>Descrizione</t>
  </si>
  <si>
    <t>Supply time</t>
  </si>
  <si>
    <t>MOQ</t>
  </si>
  <si>
    <t>OQI</t>
  </si>
  <si>
    <t>Prezzo</t>
  </si>
  <si>
    <t>CONTROL PANEL EGE SMART 3 3x400 50/60 EN12845</t>
  </si>
  <si>
    <t>8 working days from order confirmation</t>
  </si>
  <si>
    <t>1 pc</t>
  </si>
  <si>
    <t xml:space="preserve"> 100% functional test including calibration, motor test run, and insulation resistance test (ISO test) before shipment</t>
  </si>
  <si>
    <t>CONTROL PANEL EGE SMART 5,5 3x400 50/60 EN12845</t>
  </si>
  <si>
    <t>CONTROL PANEL EGE SMART 7,5 3x400 50/60 EN12845</t>
  </si>
  <si>
    <t>CONTROL PANEL EGE SMART 11 3x400 50/60 EN12845</t>
  </si>
  <si>
    <t>CONTROL PANEL EGE SMART 15 3x400 50/60 EN12845</t>
  </si>
  <si>
    <t>CONTROL PANEL EGE SMART 18,5 3x400 50/60 EN12845</t>
  </si>
  <si>
    <t>CONTROL PANEL EGE SMART 22 3x400 50/60 EN12845</t>
  </si>
  <si>
    <t>01423</t>
  </si>
  <si>
    <t>DIRECTO-EN/4 4KW</t>
  </si>
  <si>
    <t>DIRECTO-EN/5,5 5KW</t>
  </si>
  <si>
    <t>DIRECTO-EN/9,2 9.2KW</t>
  </si>
  <si>
    <t>DIRECTO-EN/15 15KW</t>
  </si>
  <si>
    <t>DIRECTO-EN/22 22KW</t>
  </si>
  <si>
    <t>DIRECTO-EN7,5 7,5KW</t>
  </si>
  <si>
    <t>DIRECTO-EN/11 11KW</t>
  </si>
  <si>
    <t>DIRECTO-EN/18,5 18,5KW</t>
  </si>
  <si>
    <t>01424</t>
  </si>
  <si>
    <t>01428</t>
  </si>
  <si>
    <t>01426</t>
  </si>
  <si>
    <t>01430</t>
  </si>
  <si>
    <t>01425</t>
  </si>
  <si>
    <t>01427</t>
  </si>
  <si>
    <t>01429</t>
  </si>
  <si>
    <t>codice Elentek</t>
  </si>
  <si>
    <t>Quadri EGE ROIV</t>
  </si>
  <si>
    <t xml:space="preserve">SITO TERMOVERDE </t>
  </si>
  <si>
    <t>https://termoverde.com/it_IT/products/cat/252/elentek-directo-en-quadro-antincendio</t>
  </si>
  <si>
    <t>Codice  quadro</t>
  </si>
  <si>
    <t>STARDELTA-EN/5.5</t>
  </si>
  <si>
    <t>7.5</t>
  </si>
  <si>
    <t>STARDELTA-EN/7.5</t>
  </si>
  <si>
    <t>STARDELTA-EN/15</t>
  </si>
  <si>
    <t>STARDELTA-EN/22</t>
  </si>
  <si>
    <t>STARDELTA-EN/37</t>
  </si>
  <si>
    <t>STARDELTA-EN/55</t>
  </si>
  <si>
    <t>STARDELTA-EN/90</t>
  </si>
  <si>
    <t>STARDELTA-EN/132</t>
  </si>
  <si>
    <t>STARDELTA-EN/11</t>
  </si>
  <si>
    <t>STARDELTA-EN/18.5</t>
  </si>
  <si>
    <t>STARDELTA-EN/30</t>
  </si>
  <si>
    <t>STARDELTA-EN/45</t>
  </si>
  <si>
    <t>STARDELTA-EN/75</t>
  </si>
  <si>
    <t>STARDELTA-EN/110</t>
  </si>
  <si>
    <t>CONTROL PANEL EGE SMART 11 3x400 50/60 Y/D EN12845</t>
  </si>
  <si>
    <t>CONTROL PANEL EGE SMART 15 3x400 50/60 Y/D EN12845</t>
  </si>
  <si>
    <t>CONTROL PANEL EGE SMART 18,5 3x400 50/60 Y/D EN12845</t>
  </si>
  <si>
    <t>CONTROL PANEL EGE SMART 22 3x400 50/60 Y/D EN12845</t>
  </si>
  <si>
    <t>CONTROL PANEL EGE SMART 30 3x400 50/60 Y/D EN12845</t>
  </si>
  <si>
    <t>CONTROL PANEL EGE SMART 37 3x400 50/60 Y/D EN12845</t>
  </si>
  <si>
    <t>CONTROL PANEL EGE SMART 45 3x400 50/60 Y/D EN12845</t>
  </si>
  <si>
    <t>CONTROL PANEL EGE SMART 55 3x400 50/60 Y/D EN12845</t>
  </si>
  <si>
    <t>CONTROL PANEL EGE SMART 75 3x400 50/60 Y/D EN12845</t>
  </si>
  <si>
    <t>CONTROL PANEL EGE SMART  90 3x400 50/60 Y/D EN12845</t>
  </si>
  <si>
    <t>CONTROL PANEL EGE SMART 110 3x400 50/60 Y/D EN12845</t>
  </si>
  <si>
    <t>CONTROL PANEL EGE SMART 132 3x400 50/60 Y/D EN12845</t>
  </si>
  <si>
    <t>CONTROL PANEL EGE SMART 160 3x400 50/60 Y/D EN12845</t>
  </si>
  <si>
    <t>CONTROL PANEL EGDE SMART 0-11kW EN12845</t>
  </si>
  <si>
    <t>CONTROL PANEL EGDE SMART 11-30kW EN12845</t>
  </si>
  <si>
    <t>CONTROL PANEL EGDE SMART 35-53kW EN12845</t>
  </si>
  <si>
    <t>CONTROL PANEL EGDE SMART 68-110 kW EN12845</t>
  </si>
  <si>
    <t>CONTROL PANEL EGDE SMART 110/164kW W/BATT 180Ah EN12845</t>
  </si>
  <si>
    <t>CONTROL PANEL EGDE SMART 215/232kW EN12845</t>
  </si>
  <si>
    <t>Quadri EGDE ROIV</t>
  </si>
  <si>
    <t>01475</t>
  </si>
  <si>
    <t>01476</t>
  </si>
  <si>
    <t>01478</t>
  </si>
  <si>
    <t>DIESEL-EN</t>
  </si>
  <si>
    <t>DIESEL-EN PLUS 500</t>
  </si>
  <si>
    <t>DIESEL-EN PLUS 800</t>
  </si>
  <si>
    <t>https://termoverde.com/it_IT/products/cat/831/elentek-diesel-en-quadro-antincendio-motopompa</t>
  </si>
  <si>
    <t>Note*</t>
  </si>
  <si>
    <t xml:space="preserve"> La Elentek offre anche la gamma AVVIAMENTO CON REATTANZA STATORICA </t>
  </si>
  <si>
    <t>Reacto‑EN</t>
  </si>
  <si>
    <t>4 → 132 kW</t>
  </si>
  <si>
    <t>A partire da 1512 € (gamma) [elentek.com]</t>
  </si>
  <si>
    <t>eJockey‑EN</t>
  </si>
  <si>
    <t>Jockey‑EN metallic</t>
  </si>
  <si>
    <t>1.5</t>
  </si>
  <si>
    <t>https://termoverde.com/it_IT/products/cat/834/elentek-reacto-en-quadro-antincendio</t>
  </si>
  <si>
    <t>https://termoverde.com/it_IT/products/cat/832/elentek-jockey-en-quadro-antincendio</t>
  </si>
  <si>
    <t>182,26€ ONLINE</t>
  </si>
  <si>
    <t xml:space="preserve">323,35€ ONLINE </t>
  </si>
  <si>
    <t>Vantaggio su Elentek (%)</t>
  </si>
  <si>
    <t>Vantaggio su Termoverde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</si>
</sst>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_€"/>
    <numFmt numFmtId="165" formatCode="#,##0.00\ &quot;€&quot;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b/>
      <sz val="11"/>
      <color rgb="FFC00000"/>
      <name val="Aptos"/>
      <family val="2"/>
    </font>
    <font>
      <b/>
      <sz val="11"/>
      <color rgb="FFC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C00000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rgb="FF0F4761"/>
      <name val="Aptos"/>
      <family val="2"/>
    </font>
    <font>
      <b/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B333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7" fillId="0" borderId="0" xfId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/>
    <xf numFmtId="165" fontId="0" fillId="4" borderId="1" xfId="0" applyNumberFormat="1" applyFill="1" applyBorder="1" applyAlignment="1">
      <alignment horizontal="center" vertical="center"/>
    </xf>
    <xf numFmtId="0" fontId="7" fillId="0" borderId="6" xfId="1" applyBorder="1" applyAlignment="1">
      <alignment wrapText="1"/>
    </xf>
    <xf numFmtId="165" fontId="0" fillId="0" borderId="2" xfId="0" applyNumberFormat="1" applyBorder="1" applyAlignment="1">
      <alignment horizontal="center"/>
    </xf>
    <xf numFmtId="0" fontId="8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8" fontId="0" fillId="0" borderId="0" xfId="0" applyNumberFormat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9" fontId="0" fillId="9" borderId="1" xfId="0" applyNumberForma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B3333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120650</xdr:colOff>
      <xdr:row>27</xdr:row>
      <xdr:rowOff>0</xdr:rowOff>
    </xdr:from>
    <xdr:ext cx="12700" cy="12700"/>
    <xdr:sp macro="" textlink="">
      <xdr:nvSpPr>
        <xdr:cNvPr id="22" name="Shape 34">
          <a:extLst>
            <a:ext uri="{FF2B5EF4-FFF2-40B4-BE49-F238E27FC236}">
              <a16:creationId xmlns:a16="http://schemas.microsoft.com/office/drawing/2014/main" id="{43CCD56C-78DC-4972-B3D4-DF11B1D8FA7E}"/>
            </a:ext>
          </a:extLst>
        </xdr:cNvPr>
        <xdr:cNvSpPr/>
      </xdr:nvSpPr>
      <xdr:spPr>
        <a:xfrm>
          <a:off x="720725" y="31007747"/>
          <a:ext cx="12700" cy="12700"/>
        </a:xfrm>
        <a:custGeom>
          <a:avLst/>
          <a:gdLst/>
          <a:ahLst/>
          <a:cxnLst/>
          <a:rect l="0" t="0" r="0" b="0"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7</xdr:col>
      <xdr:colOff>120650</xdr:colOff>
      <xdr:row>27</xdr:row>
      <xdr:rowOff>0</xdr:rowOff>
    </xdr:from>
    <xdr:ext cx="12700" cy="12700"/>
    <xdr:sp macro="" textlink="">
      <xdr:nvSpPr>
        <xdr:cNvPr id="23" name="Shape 35">
          <a:extLst>
            <a:ext uri="{FF2B5EF4-FFF2-40B4-BE49-F238E27FC236}">
              <a16:creationId xmlns:a16="http://schemas.microsoft.com/office/drawing/2014/main" id="{4630DFED-2CF5-4F67-8E87-34236D3510DF}"/>
            </a:ext>
          </a:extLst>
        </xdr:cNvPr>
        <xdr:cNvSpPr/>
      </xdr:nvSpPr>
      <xdr:spPr>
        <a:xfrm>
          <a:off x="720725" y="31864946"/>
          <a:ext cx="12700" cy="12700"/>
        </a:xfrm>
        <a:custGeom>
          <a:avLst/>
          <a:gdLst/>
          <a:ahLst/>
          <a:cxnLst/>
          <a:rect l="0" t="0" r="0" b="0"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120650</xdr:colOff>
      <xdr:row>27</xdr:row>
      <xdr:rowOff>0</xdr:rowOff>
    </xdr:from>
    <xdr:ext cx="12700" cy="12700"/>
    <xdr:sp macro="" textlink="">
      <xdr:nvSpPr>
        <xdr:cNvPr id="24" name="Shape 34">
          <a:extLst>
            <a:ext uri="{FF2B5EF4-FFF2-40B4-BE49-F238E27FC236}">
              <a16:creationId xmlns:a16="http://schemas.microsoft.com/office/drawing/2014/main" id="{115724A5-8865-4C14-9555-5A814084536D}"/>
            </a:ext>
          </a:extLst>
        </xdr:cNvPr>
        <xdr:cNvSpPr/>
      </xdr:nvSpPr>
      <xdr:spPr>
        <a:xfrm>
          <a:off x="720725" y="31007747"/>
          <a:ext cx="12700" cy="12700"/>
        </a:xfrm>
        <a:custGeom>
          <a:avLst/>
          <a:gdLst/>
          <a:ahLst/>
          <a:cxnLst/>
          <a:rect l="0" t="0" r="0" b="0"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120650</xdr:colOff>
      <xdr:row>27</xdr:row>
      <xdr:rowOff>0</xdr:rowOff>
    </xdr:from>
    <xdr:ext cx="12700" cy="12700"/>
    <xdr:sp macro="" textlink="">
      <xdr:nvSpPr>
        <xdr:cNvPr id="25" name="Shape 35">
          <a:extLst>
            <a:ext uri="{FF2B5EF4-FFF2-40B4-BE49-F238E27FC236}">
              <a16:creationId xmlns:a16="http://schemas.microsoft.com/office/drawing/2014/main" id="{EAC8BBF7-B096-4EFF-A4D2-5A3590613C18}"/>
            </a:ext>
          </a:extLst>
        </xdr:cNvPr>
        <xdr:cNvSpPr/>
      </xdr:nvSpPr>
      <xdr:spPr>
        <a:xfrm>
          <a:off x="720725" y="31864946"/>
          <a:ext cx="12700" cy="12700"/>
        </a:xfrm>
        <a:custGeom>
          <a:avLst/>
          <a:gdLst/>
          <a:ahLst/>
          <a:cxnLst/>
          <a:rect l="0" t="0" r="0" b="0"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1009650</xdr:colOff>
      <xdr:row>30</xdr:row>
      <xdr:rowOff>0</xdr:rowOff>
    </xdr:from>
    <xdr:ext cx="12700" cy="12700"/>
    <xdr:sp macro="" textlink="">
      <xdr:nvSpPr>
        <xdr:cNvPr id="26" name="Shape 36">
          <a:extLst>
            <a:ext uri="{FF2B5EF4-FFF2-40B4-BE49-F238E27FC236}">
              <a16:creationId xmlns:a16="http://schemas.microsoft.com/office/drawing/2014/main" id="{CE43F8DA-9A04-4C98-B74F-124F668B11E4}"/>
            </a:ext>
          </a:extLst>
        </xdr:cNvPr>
        <xdr:cNvSpPr/>
      </xdr:nvSpPr>
      <xdr:spPr>
        <a:xfrm>
          <a:off x="1857375" y="31007747"/>
          <a:ext cx="12700" cy="12700"/>
        </a:xfrm>
        <a:custGeom>
          <a:avLst/>
          <a:gdLst/>
          <a:ahLst/>
          <a:cxnLst/>
          <a:rect l="0" t="0" r="0" b="0"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1009650</xdr:colOff>
      <xdr:row>30</xdr:row>
      <xdr:rowOff>0</xdr:rowOff>
    </xdr:from>
    <xdr:ext cx="12700" cy="12700"/>
    <xdr:sp macro="" textlink="">
      <xdr:nvSpPr>
        <xdr:cNvPr id="27" name="Shape 37">
          <a:extLst>
            <a:ext uri="{FF2B5EF4-FFF2-40B4-BE49-F238E27FC236}">
              <a16:creationId xmlns:a16="http://schemas.microsoft.com/office/drawing/2014/main" id="{5E68973B-5BB9-4AB9-9E4E-0FFE5E344BF0}"/>
            </a:ext>
          </a:extLst>
        </xdr:cNvPr>
        <xdr:cNvSpPr/>
      </xdr:nvSpPr>
      <xdr:spPr>
        <a:xfrm>
          <a:off x="1857375" y="31864946"/>
          <a:ext cx="12700" cy="12700"/>
        </a:xfrm>
        <a:custGeom>
          <a:avLst/>
          <a:gdLst/>
          <a:ahLst/>
          <a:cxnLst/>
          <a:rect l="0" t="0" r="0" b="0"/>
          <a:pathLst>
            <a:path w="12700" h="12700">
              <a:moveTo>
                <a:pt x="0" y="6349"/>
              </a:moveTo>
              <a:lnTo>
                <a:pt x="1859" y="1859"/>
              </a:lnTo>
              <a:lnTo>
                <a:pt x="6350" y="0"/>
              </a:lnTo>
              <a:lnTo>
                <a:pt x="10840" y="1859"/>
              </a:lnTo>
              <a:lnTo>
                <a:pt x="12700" y="6349"/>
              </a:lnTo>
              <a:lnTo>
                <a:pt x="10840" y="10840"/>
              </a:lnTo>
              <a:lnTo>
                <a:pt x="6350" y="12699"/>
              </a:lnTo>
              <a:lnTo>
                <a:pt x="1859" y="10840"/>
              </a:lnTo>
              <a:lnTo>
                <a:pt x="0" y="63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ermoverde.com/it_IT/products/cat/834/elentek-reacto-en-quadro-antincendio" TargetMode="External"/><Relationship Id="rId1" Type="http://schemas.openxmlformats.org/officeDocument/2006/relationships/hyperlink" Target="https://termoverde.com/it_IT/products/cat/252/elentek-directo-en-quadro-antincendi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rmoverde.com/it_IT/products/cat/831/elentek-diesel-en-quadro-antincendio-motopom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5296-0FAA-4322-8601-399EB21DB869}">
  <dimension ref="A1:O39"/>
  <sheetViews>
    <sheetView topLeftCell="A3" workbookViewId="0">
      <selection activeCell="O4" activeCellId="1" sqref="M4:M10 O4:O10"/>
    </sheetView>
  </sheetViews>
  <sheetFormatPr defaultRowHeight="15" x14ac:dyDescent="0.25"/>
  <cols>
    <col min="1" max="1" width="22.42578125" bestFit="1" customWidth="1"/>
    <col min="2" max="2" width="52.5703125" bestFit="1" customWidth="1"/>
    <col min="3" max="3" width="36.42578125" hidden="1" customWidth="1"/>
    <col min="4" max="4" width="5.42578125" hidden="1" customWidth="1"/>
    <col min="5" max="5" width="104.5703125" hidden="1" customWidth="1"/>
    <col min="6" max="6" width="78.5703125" bestFit="1" customWidth="1"/>
    <col min="7" max="7" width="16.85546875" bestFit="1" customWidth="1"/>
    <col min="8" max="8" width="23.28515625" bestFit="1" customWidth="1"/>
    <col min="9" max="9" width="9.5703125" bestFit="1" customWidth="1"/>
    <col min="11" max="11" width="26.140625" customWidth="1"/>
    <col min="13" max="13" width="27" bestFit="1" customWidth="1"/>
    <col min="15" max="15" width="25.140625" customWidth="1"/>
  </cols>
  <sheetData>
    <row r="1" spans="1:15" ht="15" customHeight="1" thickBot="1" x14ac:dyDescent="0.3">
      <c r="A1" s="40" t="s">
        <v>33</v>
      </c>
      <c r="G1" s="38" t="s">
        <v>32</v>
      </c>
      <c r="K1" s="20" t="s">
        <v>34</v>
      </c>
    </row>
    <row r="2" spans="1:15" ht="60.75" thickBot="1" x14ac:dyDescent="0.3">
      <c r="A2" s="40"/>
      <c r="F2" s="1"/>
      <c r="G2" s="39"/>
      <c r="K2" s="28" t="s">
        <v>35</v>
      </c>
      <c r="M2" s="43" t="s">
        <v>91</v>
      </c>
      <c r="O2" s="43" t="s">
        <v>92</v>
      </c>
    </row>
    <row r="3" spans="1:15" ht="15.75" customHeight="1" x14ac:dyDescent="0.25">
      <c r="A3" s="15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15" t="s">
        <v>36</v>
      </c>
      <c r="I3" s="4" t="s">
        <v>5</v>
      </c>
    </row>
    <row r="4" spans="1:15" x14ac:dyDescent="0.25">
      <c r="A4" s="13">
        <v>60244045</v>
      </c>
      <c r="B4" s="6" t="s">
        <v>6</v>
      </c>
      <c r="C4" s="6" t="s">
        <v>7</v>
      </c>
      <c r="D4" s="9" t="s">
        <v>8</v>
      </c>
      <c r="E4" s="9" t="s">
        <v>9</v>
      </c>
      <c r="F4" s="14">
        <v>466.90847000000002</v>
      </c>
      <c r="G4" s="16" t="s">
        <v>16</v>
      </c>
      <c r="H4" s="16" t="s">
        <v>17</v>
      </c>
      <c r="I4" s="18">
        <v>1239</v>
      </c>
      <c r="K4" s="10">
        <v>801.78</v>
      </c>
      <c r="M4" s="42">
        <f>(F4-I4)/I4</f>
        <v>-0.62315700564971743</v>
      </c>
      <c r="O4" s="42">
        <f>(F4-K4)/K4</f>
        <v>-0.41766011873581277</v>
      </c>
    </row>
    <row r="5" spans="1:15" x14ac:dyDescent="0.25">
      <c r="A5" s="13">
        <v>60244046</v>
      </c>
      <c r="B5" s="6" t="s">
        <v>10</v>
      </c>
      <c r="C5" s="6" t="s">
        <v>7</v>
      </c>
      <c r="D5" s="9" t="s">
        <v>8</v>
      </c>
      <c r="E5" s="9" t="s">
        <v>9</v>
      </c>
      <c r="F5" s="14">
        <v>468.51898</v>
      </c>
      <c r="G5" s="16" t="s">
        <v>25</v>
      </c>
      <c r="H5" s="16" t="s">
        <v>18</v>
      </c>
      <c r="I5" s="18">
        <v>1247</v>
      </c>
      <c r="K5" s="10">
        <v>806.85</v>
      </c>
      <c r="M5" s="42">
        <f t="shared" ref="M5:M10" si="0">(F5-I5)/I5</f>
        <v>-0.6242830954290296</v>
      </c>
      <c r="O5" s="42">
        <f t="shared" ref="O5:O10" si="1">(F5-K5)/K5</f>
        <v>-0.41932331908037429</v>
      </c>
    </row>
    <row r="6" spans="1:15" x14ac:dyDescent="0.25">
      <c r="A6" s="13">
        <v>60244047</v>
      </c>
      <c r="B6" s="6" t="s">
        <v>11</v>
      </c>
      <c r="C6" s="6" t="s">
        <v>7</v>
      </c>
      <c r="D6" s="9" t="s">
        <v>8</v>
      </c>
      <c r="E6" s="9" t="s">
        <v>9</v>
      </c>
      <c r="F6" s="14">
        <v>472.05108000000001</v>
      </c>
      <c r="G6" s="16" t="s">
        <v>29</v>
      </c>
      <c r="H6" s="16" t="s">
        <v>22</v>
      </c>
      <c r="I6" s="18">
        <v>1257</v>
      </c>
      <c r="K6" s="23">
        <v>813.17</v>
      </c>
      <c r="M6" s="42">
        <f t="shared" si="0"/>
        <v>-0.62446214797136046</v>
      </c>
      <c r="O6" s="42">
        <f t="shared" si="1"/>
        <v>-0.41949275059335683</v>
      </c>
    </row>
    <row r="7" spans="1:15" x14ac:dyDescent="0.25">
      <c r="A7" s="13">
        <v>60244048</v>
      </c>
      <c r="B7" s="6" t="s">
        <v>12</v>
      </c>
      <c r="C7" s="6" t="s">
        <v>7</v>
      </c>
      <c r="D7" s="9" t="s">
        <v>8</v>
      </c>
      <c r="E7" s="9" t="s">
        <v>9</v>
      </c>
      <c r="F7" s="14">
        <v>503.79532000000006</v>
      </c>
      <c r="G7" s="16" t="s">
        <v>30</v>
      </c>
      <c r="H7" s="16" t="s">
        <v>23</v>
      </c>
      <c r="I7" s="18">
        <v>1290</v>
      </c>
      <c r="K7" s="10">
        <v>844.67</v>
      </c>
      <c r="M7" s="42">
        <f t="shared" si="0"/>
        <v>-0.60946099224806194</v>
      </c>
      <c r="O7" s="42">
        <f t="shared" si="1"/>
        <v>-0.40355959131968688</v>
      </c>
    </row>
    <row r="8" spans="1:15" x14ac:dyDescent="0.25">
      <c r="A8" s="13">
        <v>60244049</v>
      </c>
      <c r="B8" s="6" t="s">
        <v>13</v>
      </c>
      <c r="C8" s="6" t="s">
        <v>7</v>
      </c>
      <c r="D8" s="9" t="s">
        <v>8</v>
      </c>
      <c r="E8" s="9" t="s">
        <v>9</v>
      </c>
      <c r="F8" s="14">
        <v>508.82397000000003</v>
      </c>
      <c r="G8" s="16" t="s">
        <v>26</v>
      </c>
      <c r="H8" s="16" t="s">
        <v>20</v>
      </c>
      <c r="I8" s="18">
        <v>1378</v>
      </c>
      <c r="K8" s="10">
        <v>900.35</v>
      </c>
      <c r="M8" s="42">
        <f t="shared" si="0"/>
        <v>-0.63075183599419449</v>
      </c>
      <c r="O8" s="42">
        <f t="shared" si="1"/>
        <v>-0.43485981007386015</v>
      </c>
    </row>
    <row r="9" spans="1:15" x14ac:dyDescent="0.25">
      <c r="A9" s="13">
        <v>60244050</v>
      </c>
      <c r="B9" s="6" t="s">
        <v>14</v>
      </c>
      <c r="C9" s="6" t="s">
        <v>7</v>
      </c>
      <c r="D9" s="9" t="s">
        <v>8</v>
      </c>
      <c r="E9" s="9" t="s">
        <v>9</v>
      </c>
      <c r="F9" s="14">
        <v>512.04884000000004</v>
      </c>
      <c r="G9" s="16" t="s">
        <v>31</v>
      </c>
      <c r="H9" s="16" t="s">
        <v>24</v>
      </c>
      <c r="I9" s="18">
        <v>1290</v>
      </c>
      <c r="K9" s="10">
        <v>980.07</v>
      </c>
      <c r="M9" s="42">
        <f t="shared" si="0"/>
        <v>-0.60306291472868212</v>
      </c>
      <c r="O9" s="42">
        <f t="shared" si="1"/>
        <v>-0.47753850235187278</v>
      </c>
    </row>
    <row r="10" spans="1:15" x14ac:dyDescent="0.25">
      <c r="A10" s="13">
        <v>60244051</v>
      </c>
      <c r="B10" s="6" t="s">
        <v>15</v>
      </c>
      <c r="C10" s="6" t="s">
        <v>7</v>
      </c>
      <c r="D10" s="9" t="s">
        <v>8</v>
      </c>
      <c r="E10" s="9" t="s">
        <v>9</v>
      </c>
      <c r="F10" s="14">
        <v>554.85478000000012</v>
      </c>
      <c r="G10" s="16" t="s">
        <v>28</v>
      </c>
      <c r="H10" s="16" t="s">
        <v>21</v>
      </c>
      <c r="I10" s="18">
        <v>1541</v>
      </c>
      <c r="K10" s="10">
        <v>1003.47</v>
      </c>
      <c r="M10" s="42">
        <f t="shared" si="0"/>
        <v>-0.63993849448410112</v>
      </c>
      <c r="O10" s="42">
        <f t="shared" si="1"/>
        <v>-0.44706390823841258</v>
      </c>
    </row>
    <row r="11" spans="1:15" x14ac:dyDescent="0.25">
      <c r="G11" s="24" t="s">
        <v>27</v>
      </c>
      <c r="H11" s="25" t="s">
        <v>19</v>
      </c>
      <c r="I11" s="26">
        <v>1271</v>
      </c>
      <c r="K11" s="27">
        <v>832.64</v>
      </c>
      <c r="M11" s="41"/>
    </row>
    <row r="12" spans="1:15" x14ac:dyDescent="0.25">
      <c r="G12" s="12"/>
    </row>
    <row r="14" spans="1:15" x14ac:dyDescent="0.25">
      <c r="A14" s="11"/>
    </row>
    <row r="15" spans="1:15" ht="15" customHeight="1" x14ac:dyDescent="0.25">
      <c r="A15" s="5">
        <v>60244052</v>
      </c>
      <c r="B15" s="6" t="s">
        <v>52</v>
      </c>
      <c r="C15" s="6" t="s">
        <v>7</v>
      </c>
      <c r="D15" s="7" t="s">
        <v>8</v>
      </c>
      <c r="E15" s="7" t="s">
        <v>9</v>
      </c>
      <c r="F15" s="29">
        <v>530.76390000000004</v>
      </c>
      <c r="G15" s="16">
        <v>1443</v>
      </c>
      <c r="H15" s="16" t="s">
        <v>46</v>
      </c>
      <c r="I15" s="10">
        <v>1333</v>
      </c>
      <c r="K15" s="10">
        <v>871.87</v>
      </c>
      <c r="M15" s="42">
        <f t="shared" ref="M15:M26" si="2">(F15-I15)/I15</f>
        <v>-0.60182753188297067</v>
      </c>
      <c r="O15" s="42">
        <f t="shared" ref="O15:O26" si="3">(F15-K15)/K15</f>
        <v>-0.39123504650922725</v>
      </c>
    </row>
    <row r="16" spans="1:15" x14ac:dyDescent="0.25">
      <c r="A16" s="5">
        <v>60244053</v>
      </c>
      <c r="B16" s="6" t="s">
        <v>53</v>
      </c>
      <c r="C16" s="6" t="s">
        <v>7</v>
      </c>
      <c r="D16" s="7" t="s">
        <v>8</v>
      </c>
      <c r="E16" s="7" t="s">
        <v>9</v>
      </c>
      <c r="F16" s="29">
        <v>546.87109000000009</v>
      </c>
      <c r="G16" s="16">
        <v>1444</v>
      </c>
      <c r="H16" s="16" t="s">
        <v>40</v>
      </c>
      <c r="I16" s="10">
        <v>1454</v>
      </c>
      <c r="K16" s="10">
        <v>948.44</v>
      </c>
      <c r="M16" s="42">
        <f t="shared" si="2"/>
        <v>-0.62388508253094899</v>
      </c>
      <c r="O16" s="42">
        <f t="shared" si="3"/>
        <v>-0.42339938214330897</v>
      </c>
    </row>
    <row r="17" spans="1:15" x14ac:dyDescent="0.25">
      <c r="A17" s="5">
        <v>60244054</v>
      </c>
      <c r="B17" s="6" t="s">
        <v>54</v>
      </c>
      <c r="C17" s="6" t="s">
        <v>7</v>
      </c>
      <c r="D17" s="7" t="s">
        <v>8</v>
      </c>
      <c r="E17" s="7" t="s">
        <v>9</v>
      </c>
      <c r="F17" s="29">
        <v>548.91400999999996</v>
      </c>
      <c r="G17" s="16">
        <v>1445</v>
      </c>
      <c r="H17" s="16" t="s">
        <v>47</v>
      </c>
      <c r="I17" s="10">
        <v>1619</v>
      </c>
      <c r="K17" s="10">
        <v>1052.8399999999999</v>
      </c>
      <c r="M17" s="42">
        <f t="shared" si="2"/>
        <v>-0.66095490426189007</v>
      </c>
      <c r="O17" s="42">
        <f t="shared" si="3"/>
        <v>-0.47863492078568443</v>
      </c>
    </row>
    <row r="18" spans="1:15" x14ac:dyDescent="0.25">
      <c r="A18" s="5">
        <v>60244055</v>
      </c>
      <c r="B18" s="6" t="s">
        <v>55</v>
      </c>
      <c r="C18" s="6" t="s">
        <v>7</v>
      </c>
      <c r="D18" s="7" t="s">
        <v>8</v>
      </c>
      <c r="E18" s="7" t="s">
        <v>9</v>
      </c>
      <c r="F18" s="29">
        <v>569.31043</v>
      </c>
      <c r="G18" s="16">
        <v>1446</v>
      </c>
      <c r="H18" s="16" t="s">
        <v>41</v>
      </c>
      <c r="I18" s="10">
        <v>1731</v>
      </c>
      <c r="K18" s="10">
        <v>1123.69</v>
      </c>
      <c r="M18" s="42">
        <f t="shared" si="2"/>
        <v>-0.67110893703061814</v>
      </c>
      <c r="O18" s="42">
        <f t="shared" si="3"/>
        <v>-0.49335632603298063</v>
      </c>
    </row>
    <row r="19" spans="1:15" x14ac:dyDescent="0.25">
      <c r="A19" s="5">
        <v>60244058</v>
      </c>
      <c r="B19" s="6" t="s">
        <v>56</v>
      </c>
      <c r="C19" s="6" t="s">
        <v>7</v>
      </c>
      <c r="D19" s="7" t="s">
        <v>8</v>
      </c>
      <c r="E19" s="7" t="s">
        <v>9</v>
      </c>
      <c r="F19" s="29">
        <v>620.66547000000003</v>
      </c>
      <c r="G19" s="16">
        <v>1447</v>
      </c>
      <c r="H19" s="16" t="s">
        <v>48</v>
      </c>
      <c r="I19" s="10">
        <v>1947</v>
      </c>
      <c r="K19" s="10">
        <v>1263.72</v>
      </c>
      <c r="M19" s="42">
        <f t="shared" si="2"/>
        <v>-0.68121958397534677</v>
      </c>
      <c r="O19" s="42">
        <f t="shared" si="3"/>
        <v>-0.50885839426455226</v>
      </c>
    </row>
    <row r="20" spans="1:15" x14ac:dyDescent="0.25">
      <c r="A20" s="5">
        <v>60244059</v>
      </c>
      <c r="B20" s="6" t="s">
        <v>57</v>
      </c>
      <c r="C20" s="6" t="s">
        <v>7</v>
      </c>
      <c r="D20" s="7" t="s">
        <v>8</v>
      </c>
      <c r="E20" s="7" t="s">
        <v>9</v>
      </c>
      <c r="F20" s="29">
        <v>808.8251600000001</v>
      </c>
      <c r="G20" s="16">
        <v>1448</v>
      </c>
      <c r="H20" s="16" t="s">
        <v>42</v>
      </c>
      <c r="I20" s="10">
        <v>2085</v>
      </c>
      <c r="K20" s="10">
        <v>1351.04</v>
      </c>
      <c r="M20" s="42">
        <f t="shared" si="2"/>
        <v>-0.61207426378896879</v>
      </c>
      <c r="O20" s="42">
        <f t="shared" si="3"/>
        <v>-0.40133144836570339</v>
      </c>
    </row>
    <row r="21" spans="1:15" x14ac:dyDescent="0.25">
      <c r="A21" s="5">
        <v>60244060</v>
      </c>
      <c r="B21" s="6" t="s">
        <v>58</v>
      </c>
      <c r="C21" s="6" t="s">
        <v>7</v>
      </c>
      <c r="D21" s="7" t="s">
        <v>8</v>
      </c>
      <c r="E21" s="7" t="s">
        <v>9</v>
      </c>
      <c r="F21" s="29">
        <v>821.37374</v>
      </c>
      <c r="G21" s="16">
        <v>1449</v>
      </c>
      <c r="H21" s="16" t="s">
        <v>49</v>
      </c>
      <c r="I21" s="10">
        <v>2312</v>
      </c>
      <c r="K21" s="10">
        <v>1494.67</v>
      </c>
      <c r="M21" s="42">
        <f t="shared" si="2"/>
        <v>-0.64473454152249132</v>
      </c>
      <c r="O21" s="42">
        <f t="shared" si="3"/>
        <v>-0.45046482501154106</v>
      </c>
    </row>
    <row r="22" spans="1:15" x14ac:dyDescent="0.25">
      <c r="A22" s="5">
        <v>60244061</v>
      </c>
      <c r="B22" s="6" t="s">
        <v>59</v>
      </c>
      <c r="C22" s="6" t="s">
        <v>7</v>
      </c>
      <c r="D22" s="7" t="s">
        <v>8</v>
      </c>
      <c r="E22" s="7" t="s">
        <v>9</v>
      </c>
      <c r="F22" s="29">
        <v>1015.4529000000001</v>
      </c>
      <c r="G22" s="16">
        <v>1450</v>
      </c>
      <c r="H22" s="16" t="s">
        <v>43</v>
      </c>
      <c r="I22" s="10">
        <v>2552</v>
      </c>
      <c r="K22" s="10">
        <v>1671.24</v>
      </c>
      <c r="M22" s="42">
        <f t="shared" si="2"/>
        <v>-0.60209525862068958</v>
      </c>
      <c r="O22" s="42">
        <f t="shared" si="3"/>
        <v>-0.39239552667480426</v>
      </c>
    </row>
    <row r="23" spans="1:15" x14ac:dyDescent="0.25">
      <c r="A23" s="5">
        <v>60244062</v>
      </c>
      <c r="B23" s="6" t="s">
        <v>60</v>
      </c>
      <c r="C23" s="6" t="s">
        <v>7</v>
      </c>
      <c r="D23" s="7" t="s">
        <v>8</v>
      </c>
      <c r="E23" s="7" t="s">
        <v>9</v>
      </c>
      <c r="F23" s="29">
        <v>1187.8573799999999</v>
      </c>
      <c r="G23" s="16">
        <v>1451</v>
      </c>
      <c r="H23" s="16" t="s">
        <v>50</v>
      </c>
      <c r="I23" s="10">
        <v>2768</v>
      </c>
      <c r="K23" s="10">
        <v>1807.89</v>
      </c>
      <c r="M23" s="42">
        <f t="shared" si="2"/>
        <v>-0.57086077312138728</v>
      </c>
      <c r="O23" s="42">
        <f t="shared" si="3"/>
        <v>-0.34295926190199633</v>
      </c>
    </row>
    <row r="24" spans="1:15" x14ac:dyDescent="0.25">
      <c r="A24" s="5">
        <v>60244063</v>
      </c>
      <c r="B24" s="6" t="s">
        <v>61</v>
      </c>
      <c r="C24" s="6" t="s">
        <v>7</v>
      </c>
      <c r="D24" s="7" t="s">
        <v>8</v>
      </c>
      <c r="E24" s="7" t="s">
        <v>9</v>
      </c>
      <c r="F24" s="29">
        <v>1392.28457</v>
      </c>
      <c r="G24" s="16">
        <v>1452</v>
      </c>
      <c r="H24" s="16" t="s">
        <v>44</v>
      </c>
      <c r="I24" s="10">
        <v>3285</v>
      </c>
      <c r="K24" s="10">
        <v>2135.0100000000002</v>
      </c>
      <c r="M24" s="42">
        <f t="shared" si="2"/>
        <v>-0.57616908066971084</v>
      </c>
      <c r="O24" s="42">
        <f t="shared" si="3"/>
        <v>-0.34787913405557824</v>
      </c>
    </row>
    <row r="25" spans="1:15" x14ac:dyDescent="0.25">
      <c r="A25" s="5">
        <v>60244064</v>
      </c>
      <c r="B25" s="6" t="s">
        <v>62</v>
      </c>
      <c r="C25" s="6" t="s">
        <v>7</v>
      </c>
      <c r="D25" s="7" t="s">
        <v>8</v>
      </c>
      <c r="E25" s="7" t="s">
        <v>9</v>
      </c>
      <c r="F25" s="29">
        <v>1588.2331800000002</v>
      </c>
      <c r="G25" s="16">
        <v>1453</v>
      </c>
      <c r="H25" s="16" t="s">
        <v>51</v>
      </c>
      <c r="I25" s="10">
        <v>4044</v>
      </c>
      <c r="K25" s="10">
        <v>2615.2399999999998</v>
      </c>
      <c r="M25" s="42">
        <f t="shared" si="2"/>
        <v>-0.60726182492581593</v>
      </c>
      <c r="O25" s="42">
        <f t="shared" si="3"/>
        <v>-0.39270079227910237</v>
      </c>
    </row>
    <row r="26" spans="1:15" x14ac:dyDescent="0.25">
      <c r="A26" s="5">
        <v>60244065</v>
      </c>
      <c r="B26" s="6" t="s">
        <v>63</v>
      </c>
      <c r="C26" s="6" t="s">
        <v>7</v>
      </c>
      <c r="D26" s="7" t="s">
        <v>8</v>
      </c>
      <c r="E26" s="7" t="s">
        <v>9</v>
      </c>
      <c r="F26" s="29">
        <v>2013.9892400000001</v>
      </c>
      <c r="G26" s="16">
        <v>1454</v>
      </c>
      <c r="H26" s="16" t="s">
        <v>45</v>
      </c>
      <c r="I26" s="10">
        <v>4422</v>
      </c>
      <c r="K26" s="10">
        <v>2854.41</v>
      </c>
      <c r="M26" s="42">
        <f t="shared" si="2"/>
        <v>-0.54455241067390325</v>
      </c>
      <c r="O26" s="42">
        <f t="shared" si="3"/>
        <v>-0.29442888723063604</v>
      </c>
    </row>
    <row r="27" spans="1:15" x14ac:dyDescent="0.25">
      <c r="A27" s="5">
        <v>60244066</v>
      </c>
      <c r="B27" s="6" t="s">
        <v>64</v>
      </c>
      <c r="C27" s="6" t="s">
        <v>7</v>
      </c>
      <c r="D27" s="7" t="s">
        <v>8</v>
      </c>
      <c r="E27" s="7" t="s">
        <v>9</v>
      </c>
      <c r="F27" s="29">
        <v>3233</v>
      </c>
      <c r="G27" s="16"/>
      <c r="H27" s="16"/>
      <c r="I27" s="10"/>
      <c r="K27" s="10"/>
    </row>
    <row r="28" spans="1:15" x14ac:dyDescent="0.25">
      <c r="G28" s="25">
        <v>1441</v>
      </c>
      <c r="H28" s="25" t="s">
        <v>37</v>
      </c>
      <c r="I28" s="27">
        <v>1322</v>
      </c>
      <c r="K28" s="10">
        <v>854.29</v>
      </c>
    </row>
    <row r="29" spans="1:15" x14ac:dyDescent="0.25">
      <c r="G29" s="25">
        <v>1442</v>
      </c>
      <c r="H29" s="25" t="s">
        <v>39</v>
      </c>
      <c r="I29" s="27">
        <v>1322</v>
      </c>
      <c r="K29" s="10">
        <v>854.29</v>
      </c>
    </row>
    <row r="33" spans="1:7" ht="15.75" thickBot="1" x14ac:dyDescent="0.3"/>
    <row r="34" spans="1:7" ht="30.75" thickBot="1" x14ac:dyDescent="0.3">
      <c r="A34" s="34" t="s">
        <v>79</v>
      </c>
      <c r="B34" s="33" t="s">
        <v>80</v>
      </c>
    </row>
    <row r="35" spans="1:7" x14ac:dyDescent="0.25">
      <c r="B35" s="32"/>
    </row>
    <row r="36" spans="1:7" x14ac:dyDescent="0.25">
      <c r="A36" s="35" t="s">
        <v>81</v>
      </c>
      <c r="B36" s="22" t="s">
        <v>82</v>
      </c>
      <c r="C36" t="s">
        <v>83</v>
      </c>
      <c r="D36" t="s">
        <v>83</v>
      </c>
      <c r="E36" s="19" t="s">
        <v>87</v>
      </c>
      <c r="F36" s="19"/>
    </row>
    <row r="38" spans="1:7" x14ac:dyDescent="0.25">
      <c r="A38" s="35" t="s">
        <v>84</v>
      </c>
      <c r="B38" s="22" t="s">
        <v>38</v>
      </c>
      <c r="C38" s="36" t="s">
        <v>89</v>
      </c>
      <c r="E38" t="s">
        <v>88</v>
      </c>
      <c r="G38" s="37"/>
    </row>
    <row r="39" spans="1:7" x14ac:dyDescent="0.25">
      <c r="A39" s="35" t="s">
        <v>85</v>
      </c>
      <c r="B39" s="22" t="s">
        <v>86</v>
      </c>
      <c r="C39" s="36" t="s">
        <v>90</v>
      </c>
      <c r="E39" t="s">
        <v>88</v>
      </c>
      <c r="G39" s="37"/>
    </row>
  </sheetData>
  <mergeCells count="2">
    <mergeCell ref="A1:A2"/>
    <mergeCell ref="G1:G2"/>
  </mergeCells>
  <hyperlinks>
    <hyperlink ref="K2" r:id="rId1" xr:uid="{47AE3FD6-2419-4D71-BB1B-D073463C63B7}"/>
    <hyperlink ref="E36" r:id="rId2" xr:uid="{BDE09678-B77B-4282-A4F5-F608C23ECE13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22F6-805F-4D85-BEDE-E7856FDF83ED}">
  <dimension ref="A1:K9"/>
  <sheetViews>
    <sheetView tabSelected="1" workbookViewId="0">
      <selection activeCell="E2" sqref="E2"/>
    </sheetView>
  </sheetViews>
  <sheetFormatPr defaultRowHeight="15" x14ac:dyDescent="0.25"/>
  <cols>
    <col min="1" max="1" width="22.42578125" bestFit="1" customWidth="1"/>
    <col min="2" max="2" width="59" bestFit="1" customWidth="1"/>
    <col min="3" max="3" width="36.42578125" bestFit="1" customWidth="1"/>
    <col min="4" max="4" width="5.42578125" bestFit="1" customWidth="1"/>
    <col min="5" max="5" width="104.5703125" bestFit="1" customWidth="1"/>
    <col min="6" max="6" width="9.5703125" bestFit="1" customWidth="1"/>
    <col min="7" max="7" width="16.140625" bestFit="1" customWidth="1"/>
    <col min="8" max="8" width="18.28515625" bestFit="1" customWidth="1"/>
    <col min="9" max="9" width="9.5703125" bestFit="1" customWidth="1"/>
    <col min="11" max="11" width="17.85546875" bestFit="1" customWidth="1"/>
  </cols>
  <sheetData>
    <row r="1" spans="1:11" x14ac:dyDescent="0.25">
      <c r="A1" s="40" t="s">
        <v>71</v>
      </c>
      <c r="G1" s="38" t="s">
        <v>32</v>
      </c>
      <c r="K1" s="20" t="s">
        <v>34</v>
      </c>
    </row>
    <row r="2" spans="1:11" ht="90.75" thickBot="1" x14ac:dyDescent="0.3">
      <c r="A2" s="40"/>
      <c r="F2" s="1"/>
      <c r="G2" s="39"/>
      <c r="K2" s="28" t="s">
        <v>78</v>
      </c>
    </row>
    <row r="3" spans="1:11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15" t="s">
        <v>36</v>
      </c>
      <c r="I3" s="4" t="s">
        <v>5</v>
      </c>
    </row>
    <row r="4" spans="1:11" x14ac:dyDescent="0.25">
      <c r="A4" s="5">
        <v>60244038</v>
      </c>
      <c r="B4" s="6" t="s">
        <v>65</v>
      </c>
      <c r="C4" s="6" t="s">
        <v>7</v>
      </c>
      <c r="D4" s="7" t="s">
        <v>8</v>
      </c>
      <c r="E4" s="7" t="s">
        <v>9</v>
      </c>
      <c r="F4" s="8">
        <v>871.46520999999996</v>
      </c>
      <c r="G4" s="17" t="s">
        <v>72</v>
      </c>
      <c r="H4" s="16" t="s">
        <v>75</v>
      </c>
      <c r="I4" s="10">
        <v>2073</v>
      </c>
      <c r="K4" s="18">
        <v>1329.46</v>
      </c>
    </row>
    <row r="5" spans="1:11" x14ac:dyDescent="0.25">
      <c r="A5" s="5">
        <v>60244039</v>
      </c>
      <c r="B5" s="6" t="s">
        <v>66</v>
      </c>
      <c r="C5" s="6" t="s">
        <v>7</v>
      </c>
      <c r="D5" s="7" t="s">
        <v>8</v>
      </c>
      <c r="E5" s="7" t="s">
        <v>9</v>
      </c>
      <c r="F5" s="8">
        <v>954.77140000000009</v>
      </c>
      <c r="G5" s="17" t="s">
        <v>73</v>
      </c>
      <c r="H5" s="16" t="s">
        <v>76</v>
      </c>
      <c r="I5" s="10">
        <v>2401</v>
      </c>
      <c r="K5" s="18">
        <v>1547.61</v>
      </c>
    </row>
    <row r="6" spans="1:11" x14ac:dyDescent="0.25">
      <c r="A6" s="5">
        <v>60244040</v>
      </c>
      <c r="B6" s="6" t="s">
        <v>67</v>
      </c>
      <c r="C6" s="6" t="s">
        <v>7</v>
      </c>
      <c r="D6" s="7" t="s">
        <v>8</v>
      </c>
      <c r="E6" s="7" t="s">
        <v>9</v>
      </c>
      <c r="F6" s="8">
        <v>966.51016000000004</v>
      </c>
      <c r="G6" s="17" t="s">
        <v>74</v>
      </c>
      <c r="H6" s="16" t="s">
        <v>77</v>
      </c>
      <c r="I6" s="10">
        <v>2515</v>
      </c>
      <c r="K6" s="18">
        <v>1619.75</v>
      </c>
    </row>
    <row r="7" spans="1:11" x14ac:dyDescent="0.25">
      <c r="A7" s="5">
        <v>60244041</v>
      </c>
      <c r="B7" s="6" t="s">
        <v>68</v>
      </c>
      <c r="C7" s="6" t="s">
        <v>7</v>
      </c>
      <c r="D7" s="7" t="s">
        <v>8</v>
      </c>
      <c r="E7" s="7" t="s">
        <v>9</v>
      </c>
      <c r="F7" s="8">
        <v>1089.80223</v>
      </c>
      <c r="G7" s="11"/>
      <c r="I7" s="21"/>
    </row>
    <row r="8" spans="1:11" x14ac:dyDescent="0.25">
      <c r="A8" s="5">
        <v>60244043</v>
      </c>
      <c r="B8" s="6" t="s">
        <v>69</v>
      </c>
      <c r="C8" s="6" t="s">
        <v>7</v>
      </c>
      <c r="D8" s="7" t="s">
        <v>8</v>
      </c>
      <c r="E8" s="7" t="s">
        <v>9</v>
      </c>
      <c r="F8" s="8">
        <v>1457.9288899999999</v>
      </c>
      <c r="G8" s="11"/>
    </row>
    <row r="9" spans="1:11" x14ac:dyDescent="0.25">
      <c r="A9" s="30">
        <v>60244044</v>
      </c>
      <c r="B9" s="31" t="s">
        <v>70</v>
      </c>
      <c r="C9" s="6" t="s">
        <v>7</v>
      </c>
      <c r="D9" s="7" t="s">
        <v>8</v>
      </c>
      <c r="E9" s="7" t="s">
        <v>9</v>
      </c>
      <c r="F9" s="8">
        <v>2671.9475100000004</v>
      </c>
      <c r="G9" s="11"/>
    </row>
  </sheetData>
  <mergeCells count="2">
    <mergeCell ref="G1:G2"/>
    <mergeCell ref="A1:A2"/>
  </mergeCells>
  <hyperlinks>
    <hyperlink ref="K2" r:id="rId1" xr:uid="{9E8B55B7-3B99-4F76-AB6C-295349294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EGE</vt:lpstr>
      <vt:lpstr>EGDE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 Rocco</dc:creator>
  <cp:lastModifiedBy>Ivano Rocco</cp:lastModifiedBy>
  <dcterms:created xsi:type="dcterms:W3CDTF">2026-02-21T13:40:13Z</dcterms:created>
  <dcterms:modified xsi:type="dcterms:W3CDTF">2026-02-21T14:50:10Z</dcterms:modified>
</cp:coreProperties>
</file>