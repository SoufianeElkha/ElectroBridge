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831"/>
  <workbookPr/>
  <mc:AlternateContent xmlns:mc="http://schemas.openxmlformats.org/markup-compatibility/2006">
    <mc:Choice Requires="x15">
      <x15ac:absPath xmlns:x15ac="http://schemas.microsoft.com/office/spreadsheetml/2010/11/ac" url="\\UBSPROD.MSAD.UBS.NET\userdata\t698467\rf\Desktop\Business plan\French templates\"/>
    </mc:Choice>
  </mc:AlternateContent>
  <xr:revisionPtr revIDLastSave="0" documentId="13_ncr:1_{A5F95B0E-B6B8-4AC6-8C85-558345B89C38}" xr6:coauthVersionLast="47" xr6:coauthVersionMax="47" xr10:uidLastSave="{00000000-0000-0000-0000-000000000000}"/>
  <bookViews>
    <workbookView xWindow="-120" yWindow="-120" windowWidth="38640" windowHeight="15840" activeTab="5" xr2:uid="{00000000-000D-0000-FFFF-FFFF00000000}"/>
  </bookViews>
  <sheets>
    <sheet name="Read Me" sheetId="8" r:id="rId1"/>
    <sheet name="A. Comptes de résultats" sheetId="1" r:id="rId2"/>
    <sheet name="B. Bilan" sheetId="2" r:id="rId3"/>
    <sheet name="C. Bilan prévisionnel" sheetId="6" r:id="rId4"/>
    <sheet name="D. Tableau de flux de fonds" sheetId="3" r:id="rId5"/>
    <sheet name="E. Ratios" sheetId="7" r:id="rId6"/>
  </sheets>
  <externalReferences>
    <externalReference r:id="rId7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5" i="6" l="1"/>
  <c r="F25" i="6"/>
  <c r="E25" i="6"/>
  <c r="D25" i="6"/>
  <c r="M41" i="6"/>
  <c r="L41" i="6"/>
  <c r="K41" i="6"/>
  <c r="J41" i="6"/>
  <c r="I41" i="6"/>
  <c r="H32" i="6"/>
  <c r="G32" i="6"/>
  <c r="F32" i="6"/>
  <c r="E32" i="6"/>
  <c r="H31" i="6"/>
  <c r="G31" i="6"/>
  <c r="F31" i="6"/>
  <c r="E31" i="6"/>
  <c r="H30" i="6"/>
  <c r="G30" i="6"/>
  <c r="F30" i="6"/>
  <c r="E30" i="6"/>
  <c r="F46" i="2"/>
  <c r="F48" i="2" s="1"/>
  <c r="E46" i="2"/>
  <c r="E48" i="2" s="1"/>
  <c r="D46" i="2"/>
  <c r="D48" i="2" s="1"/>
  <c r="C46" i="2"/>
  <c r="C48" i="2" s="1"/>
  <c r="H45" i="2"/>
  <c r="I45" i="2" s="1"/>
  <c r="J45" i="2" s="1"/>
  <c r="K45" i="2" s="1"/>
  <c r="L45" i="2" s="1"/>
  <c r="H44" i="2"/>
  <c r="I44" i="2" s="1"/>
  <c r="J44" i="2" s="1"/>
  <c r="K44" i="2" s="1"/>
  <c r="L44" i="2" s="1"/>
  <c r="H43" i="2"/>
  <c r="L39" i="2"/>
  <c r="K39" i="2"/>
  <c r="J39" i="2"/>
  <c r="I39" i="2"/>
  <c r="H39" i="2"/>
  <c r="F39" i="2"/>
  <c r="E39" i="2"/>
  <c r="D39" i="2"/>
  <c r="C39" i="2"/>
  <c r="F32" i="2"/>
  <c r="F51" i="2" s="1"/>
  <c r="E32" i="2"/>
  <c r="D32" i="2"/>
  <c r="D51" i="2" s="1"/>
  <c r="C32" i="2"/>
  <c r="C51" i="2" s="1"/>
  <c r="L27" i="2"/>
  <c r="L32" i="2" s="1"/>
  <c r="K27" i="2"/>
  <c r="K32" i="2" s="1"/>
  <c r="J27" i="2"/>
  <c r="J32" i="2" s="1"/>
  <c r="I27" i="2"/>
  <c r="I32" i="2" s="1"/>
  <c r="H27" i="2"/>
  <c r="H32" i="2" s="1"/>
  <c r="F24" i="2"/>
  <c r="E24" i="2"/>
  <c r="D24" i="2"/>
  <c r="C24" i="2"/>
  <c r="F18" i="2"/>
  <c r="F25" i="2" s="1"/>
  <c r="F53" i="2" s="1"/>
  <c r="E18" i="2"/>
  <c r="E25" i="2" s="1"/>
  <c r="D18" i="2"/>
  <c r="D25" i="2" s="1"/>
  <c r="C18" i="2"/>
  <c r="L13" i="2"/>
  <c r="K13" i="2"/>
  <c r="J13" i="2"/>
  <c r="I13" i="2"/>
  <c r="H13" i="2"/>
  <c r="L11" i="2"/>
  <c r="L18" i="2" s="1"/>
  <c r="L25" i="2" s="1"/>
  <c r="K11" i="2"/>
  <c r="K18" i="2" s="1"/>
  <c r="K25" i="2" s="1"/>
  <c r="J11" i="2"/>
  <c r="J18" i="2" s="1"/>
  <c r="J25" i="2" s="1"/>
  <c r="I11" i="2"/>
  <c r="I18" i="2" s="1"/>
  <c r="I25" i="2" s="1"/>
  <c r="H11" i="2"/>
  <c r="H18" i="2" s="1"/>
  <c r="H25" i="2" s="1"/>
  <c r="L10" i="2"/>
  <c r="K10" i="2"/>
  <c r="J10" i="2"/>
  <c r="I10" i="2"/>
  <c r="H10" i="2"/>
  <c r="L9" i="2"/>
  <c r="K9" i="2"/>
  <c r="J9" i="2"/>
  <c r="I9" i="2"/>
  <c r="H9" i="2"/>
  <c r="M10" i="1"/>
  <c r="L10" i="1"/>
  <c r="L11" i="1" s="1"/>
  <c r="K10" i="1"/>
  <c r="K22" i="1" s="1"/>
  <c r="J10" i="1"/>
  <c r="I10" i="1"/>
  <c r="G10" i="1"/>
  <c r="G11" i="1" s="1"/>
  <c r="F10" i="1"/>
  <c r="F22" i="1" s="1"/>
  <c r="E10" i="1"/>
  <c r="D10" i="1"/>
  <c r="D22" i="1" l="1"/>
  <c r="D26" i="1" s="1"/>
  <c r="D11" i="1"/>
  <c r="E22" i="1"/>
  <c r="E11" i="1"/>
  <c r="I22" i="1"/>
  <c r="I26" i="1" s="1"/>
  <c r="I11" i="1"/>
  <c r="J22" i="1"/>
  <c r="J11" i="1"/>
  <c r="M22" i="1"/>
  <c r="M26" i="1" s="1"/>
  <c r="M11" i="1"/>
  <c r="C25" i="2"/>
  <c r="H48" i="2"/>
  <c r="I43" i="2"/>
  <c r="D49" i="2"/>
  <c r="E51" i="2"/>
  <c r="E49" i="2" s="1"/>
  <c r="F49" i="2"/>
  <c r="D53" i="2"/>
  <c r="C53" i="2"/>
  <c r="H41" i="2"/>
  <c r="H51" i="2" s="1"/>
  <c r="H53" i="2" s="1"/>
  <c r="C49" i="2"/>
  <c r="E23" i="1"/>
  <c r="E26" i="1"/>
  <c r="J23" i="1"/>
  <c r="J26" i="1"/>
  <c r="F26" i="1"/>
  <c r="F23" i="1"/>
  <c r="K26" i="1"/>
  <c r="K23" i="1"/>
  <c r="D34" i="1"/>
  <c r="D35" i="1" s="1"/>
  <c r="D33" i="1"/>
  <c r="D27" i="1"/>
  <c r="I34" i="1"/>
  <c r="I35" i="1" s="1"/>
  <c r="I33" i="1"/>
  <c r="I27" i="1"/>
  <c r="M34" i="1"/>
  <c r="M35" i="1" s="1"/>
  <c r="M33" i="1"/>
  <c r="M27" i="1"/>
  <c r="G22" i="1"/>
  <c r="L22" i="1"/>
  <c r="F11" i="1"/>
  <c r="K11" i="1"/>
  <c r="D23" i="1"/>
  <c r="I23" i="1"/>
  <c r="M23" i="1"/>
  <c r="I48" i="2" l="1"/>
  <c r="I41" i="2" s="1"/>
  <c r="I51" i="2" s="1"/>
  <c r="J43" i="2"/>
  <c r="I53" i="2"/>
  <c r="I49" i="2"/>
  <c r="H49" i="2"/>
  <c r="E53" i="2"/>
  <c r="L26" i="1"/>
  <c r="L23" i="1"/>
  <c r="K33" i="1"/>
  <c r="K27" i="1"/>
  <c r="K34" i="1"/>
  <c r="K35" i="1" s="1"/>
  <c r="G26" i="1"/>
  <c r="G23" i="1"/>
  <c r="E34" i="1"/>
  <c r="E35" i="1" s="1"/>
  <c r="E33" i="1"/>
  <c r="E27" i="1"/>
  <c r="J34" i="1"/>
  <c r="J35" i="1" s="1"/>
  <c r="J33" i="1"/>
  <c r="J27" i="1"/>
  <c r="F33" i="1"/>
  <c r="F27" i="1"/>
  <c r="F34" i="1"/>
  <c r="F35" i="1" s="1"/>
  <c r="J48" i="2" l="1"/>
  <c r="K43" i="2"/>
  <c r="G27" i="1"/>
  <c r="G34" i="1"/>
  <c r="G35" i="1" s="1"/>
  <c r="G33" i="1"/>
  <c r="L27" i="1"/>
  <c r="L34" i="1"/>
  <c r="L35" i="1" s="1"/>
  <c r="L33" i="1"/>
  <c r="K48" i="2" l="1"/>
  <c r="L43" i="2"/>
  <c r="L48" i="2" s="1"/>
  <c r="J41" i="2"/>
  <c r="J51" i="2" s="1"/>
  <c r="J53" i="2" s="1"/>
  <c r="J49" i="2"/>
  <c r="M25" i="6"/>
  <c r="L25" i="6"/>
  <c r="K25" i="6"/>
  <c r="J25" i="6"/>
  <c r="I25" i="6"/>
  <c r="D14" i="6"/>
  <c r="F13" i="6"/>
  <c r="F12" i="6"/>
  <c r="F11" i="6"/>
  <c r="F10" i="6"/>
  <c r="F9" i="6"/>
  <c r="F8" i="6"/>
  <c r="F14" i="6" s="1"/>
  <c r="L41" i="2" l="1"/>
  <c r="L51" i="2" s="1"/>
  <c r="L53" i="2" s="1"/>
  <c r="L49" i="2"/>
  <c r="K41" i="2"/>
  <c r="K51" i="2"/>
  <c r="K53" i="2" s="1"/>
  <c r="K49" i="2"/>
  <c r="M36" i="3"/>
  <c r="M35" i="3"/>
  <c r="M33" i="3"/>
  <c r="M32" i="3"/>
  <c r="M31" i="3"/>
  <c r="M30" i="3"/>
  <c r="L36" i="3"/>
  <c r="L35" i="3"/>
  <c r="L33" i="3"/>
  <c r="L32" i="3"/>
  <c r="L31" i="3"/>
  <c r="L30" i="3"/>
  <c r="K36" i="3"/>
  <c r="K35" i="3"/>
  <c r="K33" i="3"/>
  <c r="K32" i="3"/>
  <c r="K31" i="3"/>
  <c r="K30" i="3"/>
  <c r="M22" i="3"/>
  <c r="M20" i="3"/>
  <c r="M19" i="3"/>
  <c r="M18" i="3"/>
  <c r="M16" i="3"/>
  <c r="M15" i="3"/>
  <c r="M14" i="3"/>
  <c r="M13" i="3"/>
  <c r="M12" i="3"/>
  <c r="M10" i="3"/>
  <c r="L22" i="3"/>
  <c r="L20" i="3"/>
  <c r="L19" i="3"/>
  <c r="L18" i="3"/>
  <c r="L16" i="3"/>
  <c r="L15" i="3"/>
  <c r="L14" i="3"/>
  <c r="L13" i="3"/>
  <c r="L12" i="3"/>
  <c r="L10" i="3"/>
  <c r="J22" i="3"/>
  <c r="J20" i="3"/>
  <c r="J19" i="3"/>
  <c r="J18" i="3"/>
  <c r="J16" i="3"/>
  <c r="J15" i="3"/>
  <c r="J14" i="3"/>
  <c r="J13" i="3"/>
  <c r="J12" i="3"/>
  <c r="J10" i="3"/>
  <c r="K22" i="3"/>
  <c r="K20" i="3"/>
  <c r="K19" i="3"/>
  <c r="K18" i="3"/>
  <c r="K16" i="3"/>
  <c r="K15" i="3"/>
  <c r="K14" i="3"/>
  <c r="K13" i="3"/>
  <c r="J36" i="3" l="1"/>
  <c r="J35" i="3"/>
  <c r="J33" i="3"/>
  <c r="J32" i="3"/>
  <c r="J31" i="3"/>
  <c r="J30" i="3"/>
  <c r="K12" i="3"/>
  <c r="J29" i="3"/>
  <c r="K10" i="3"/>
  <c r="K29" i="3" s="1"/>
  <c r="L29" i="3"/>
  <c r="M29" i="3"/>
  <c r="K9" i="3"/>
  <c r="L9" i="3"/>
  <c r="M9" i="3"/>
  <c r="J9" i="3"/>
  <c r="I36" i="3"/>
  <c r="I35" i="3"/>
  <c r="I33" i="3"/>
  <c r="I32" i="3"/>
  <c r="I31" i="3"/>
  <c r="I30" i="3"/>
  <c r="I22" i="3"/>
  <c r="I20" i="3"/>
  <c r="I19" i="3"/>
  <c r="I18" i="3"/>
  <c r="I16" i="3"/>
  <c r="I15" i="3"/>
  <c r="I14" i="3"/>
  <c r="I12" i="3"/>
  <c r="I10" i="3"/>
  <c r="I29" i="3" s="1"/>
  <c r="I9" i="3"/>
  <c r="J29" i="7"/>
  <c r="K29" i="7"/>
  <c r="L29" i="7"/>
  <c r="M29" i="7"/>
  <c r="J27" i="7"/>
  <c r="M27" i="7"/>
  <c r="I38" i="3" l="1"/>
  <c r="I37" i="3"/>
  <c r="K37" i="3"/>
  <c r="J37" i="3"/>
  <c r="K38" i="3"/>
  <c r="J38" i="3"/>
  <c r="M17" i="3"/>
  <c r="M28" i="7"/>
  <c r="L17" i="3"/>
  <c r="L28" i="7"/>
  <c r="K17" i="3"/>
  <c r="K28" i="7"/>
  <c r="I17" i="3"/>
  <c r="I28" i="7"/>
  <c r="J17" i="3"/>
  <c r="J28" i="7"/>
  <c r="L27" i="7"/>
  <c r="M11" i="3"/>
  <c r="K27" i="7"/>
  <c r="L11" i="3"/>
  <c r="L21" i="3" s="1"/>
  <c r="J11" i="3"/>
  <c r="I13" i="3"/>
  <c r="I29" i="7"/>
  <c r="K11" i="3"/>
  <c r="I11" i="3"/>
  <c r="I27" i="7"/>
  <c r="M37" i="3" l="1"/>
  <c r="L37" i="3"/>
  <c r="M38" i="3"/>
  <c r="L38" i="3"/>
  <c r="M21" i="3"/>
  <c r="I21" i="3"/>
  <c r="K21" i="3"/>
  <c r="J21" i="3"/>
  <c r="G28" i="7" l="1"/>
  <c r="F28" i="7"/>
  <c r="E28" i="7"/>
  <c r="G29" i="7"/>
  <c r="F29" i="7"/>
  <c r="E29" i="7"/>
  <c r="D29" i="7"/>
  <c r="D28" i="7"/>
  <c r="G27" i="7"/>
  <c r="F27" i="7"/>
  <c r="E27" i="7"/>
  <c r="D27" i="7"/>
  <c r="D3" i="7" l="1"/>
  <c r="G7" i="7" s="1"/>
  <c r="F7" i="7" s="1"/>
  <c r="E7" i="7" s="1"/>
  <c r="D7" i="7" s="1"/>
  <c r="D2" i="7"/>
  <c r="D3" i="6" l="1"/>
  <c r="D2" i="6"/>
  <c r="M24" i="7"/>
  <c r="J13" i="7"/>
  <c r="I13" i="7"/>
  <c r="L24" i="7" l="1"/>
  <c r="K24" i="7"/>
  <c r="M14" i="7"/>
  <c r="K13" i="7"/>
  <c r="K14" i="7"/>
  <c r="M13" i="7"/>
  <c r="L13" i="7"/>
  <c r="L14" i="7"/>
  <c r="C10" i="3"/>
  <c r="E10" i="3"/>
  <c r="E9" i="3"/>
  <c r="C9" i="3"/>
  <c r="G10" i="3"/>
  <c r="G9" i="3"/>
  <c r="L18" i="7" l="1"/>
  <c r="L8" i="3"/>
  <c r="L23" i="3" s="1"/>
  <c r="J24" i="7"/>
  <c r="J14" i="7"/>
  <c r="I24" i="7"/>
  <c r="I14" i="7"/>
  <c r="C3" i="3"/>
  <c r="C2" i="3"/>
  <c r="C38" i="3"/>
  <c r="C37" i="3"/>
  <c r="C36" i="3"/>
  <c r="C35" i="3"/>
  <c r="C33" i="3"/>
  <c r="C32" i="3"/>
  <c r="C31" i="3"/>
  <c r="C30" i="3"/>
  <c r="C22" i="3"/>
  <c r="C20" i="3"/>
  <c r="C19" i="3"/>
  <c r="C18" i="3"/>
  <c r="C17" i="3"/>
  <c r="C16" i="3"/>
  <c r="C15" i="3"/>
  <c r="C14" i="3"/>
  <c r="C13" i="3"/>
  <c r="C12" i="3"/>
  <c r="C11" i="3"/>
  <c r="C29" i="3"/>
  <c r="C3" i="2"/>
  <c r="C2" i="2"/>
  <c r="G7" i="1"/>
  <c r="I7" i="1" s="1"/>
  <c r="I7" i="3" s="1"/>
  <c r="H7" i="2" l="1"/>
  <c r="I37" i="6"/>
  <c r="I7" i="7"/>
  <c r="I18" i="6"/>
  <c r="K8" i="3"/>
  <c r="K23" i="3" s="1"/>
  <c r="K18" i="7"/>
  <c r="M18" i="7"/>
  <c r="M8" i="3"/>
  <c r="M23" i="3" s="1"/>
  <c r="C21" i="3"/>
  <c r="D11" i="7"/>
  <c r="D10" i="7"/>
  <c r="D9" i="7"/>
  <c r="D25" i="7"/>
  <c r="D24" i="7"/>
  <c r="J7" i="1"/>
  <c r="J7" i="3" s="1"/>
  <c r="D14" i="7"/>
  <c r="D13" i="7"/>
  <c r="E38" i="3"/>
  <c r="E37" i="3"/>
  <c r="E36" i="3"/>
  <c r="E35" i="3"/>
  <c r="E33" i="3"/>
  <c r="E32" i="3"/>
  <c r="E31" i="3"/>
  <c r="E30" i="3"/>
  <c r="E22" i="3"/>
  <c r="E20" i="3"/>
  <c r="E19" i="3"/>
  <c r="E18" i="3"/>
  <c r="E17" i="3"/>
  <c r="E16" i="3"/>
  <c r="E15" i="3"/>
  <c r="E14" i="3"/>
  <c r="E13" i="3"/>
  <c r="E12" i="3"/>
  <c r="E11" i="3"/>
  <c r="E29" i="3"/>
  <c r="G38" i="3"/>
  <c r="G37" i="3"/>
  <c r="G36" i="3"/>
  <c r="G35" i="3"/>
  <c r="G33" i="3"/>
  <c r="G32" i="3"/>
  <c r="G31" i="3"/>
  <c r="G30" i="3"/>
  <c r="G22" i="3"/>
  <c r="G20" i="3"/>
  <c r="G19" i="3"/>
  <c r="G18" i="3"/>
  <c r="G17" i="3"/>
  <c r="G16" i="3"/>
  <c r="G15" i="3"/>
  <c r="G14" i="3"/>
  <c r="G13" i="3"/>
  <c r="G12" i="3"/>
  <c r="G11" i="3"/>
  <c r="G29" i="3"/>
  <c r="I7" i="2" l="1"/>
  <c r="J37" i="6"/>
  <c r="J7" i="7"/>
  <c r="J18" i="6"/>
  <c r="I18" i="7"/>
  <c r="I8" i="3"/>
  <c r="I23" i="3" s="1"/>
  <c r="J18" i="7"/>
  <c r="J8" i="3"/>
  <c r="J23" i="3" s="1"/>
  <c r="G21" i="3"/>
  <c r="G25" i="7"/>
  <c r="G24" i="7"/>
  <c r="F25" i="7"/>
  <c r="F24" i="7"/>
  <c r="E18" i="7"/>
  <c r="E25" i="7"/>
  <c r="E24" i="7"/>
  <c r="K7" i="1"/>
  <c r="K7" i="3" s="1"/>
  <c r="D18" i="7"/>
  <c r="E21" i="3"/>
  <c r="J7" i="2" l="1"/>
  <c r="K37" i="6"/>
  <c r="K7" i="7"/>
  <c r="K18" i="6"/>
  <c r="F18" i="7"/>
  <c r="L7" i="1"/>
  <c r="L7" i="3" s="1"/>
  <c r="C8" i="3"/>
  <c r="C23" i="3" s="1"/>
  <c r="K7" i="2" l="1"/>
  <c r="L37" i="6"/>
  <c r="L7" i="7"/>
  <c r="L18" i="6"/>
  <c r="E8" i="3"/>
  <c r="E23" i="3" s="1"/>
  <c r="G18" i="7"/>
  <c r="M7" i="1"/>
  <c r="M7" i="3" s="1"/>
  <c r="C39" i="3"/>
  <c r="C40" i="3" s="1"/>
  <c r="E16" i="7"/>
  <c r="E39" i="3"/>
  <c r="E40" i="3" s="1"/>
  <c r="G7" i="3"/>
  <c r="I39" i="6" l="1"/>
  <c r="F20" i="7"/>
  <c r="L7" i="2"/>
  <c r="M37" i="6"/>
  <c r="M7" i="7"/>
  <c r="M18" i="6"/>
  <c r="I38" i="6"/>
  <c r="C25" i="3"/>
  <c r="C26" i="3" s="1"/>
  <c r="C28" i="3" s="1"/>
  <c r="C41" i="3" s="1"/>
  <c r="C43" i="3" s="1"/>
  <c r="G25" i="3"/>
  <c r="G26" i="3" s="1"/>
  <c r="E11" i="7"/>
  <c r="E10" i="7"/>
  <c r="E9" i="7"/>
  <c r="E25" i="3"/>
  <c r="E26" i="3" s="1"/>
  <c r="E28" i="3" s="1"/>
  <c r="E41" i="3" s="1"/>
  <c r="E43" i="3" s="1"/>
  <c r="G11" i="7"/>
  <c r="G9" i="7"/>
  <c r="G10" i="7"/>
  <c r="F11" i="7"/>
  <c r="F10" i="7"/>
  <c r="F9" i="7"/>
  <c r="E20" i="7"/>
  <c r="E22" i="7"/>
  <c r="E21" i="7"/>
  <c r="D22" i="7"/>
  <c r="D21" i="7"/>
  <c r="D16" i="7"/>
  <c r="D20" i="7"/>
  <c r="F7" i="2"/>
  <c r="G18" i="6" s="1"/>
  <c r="G29" i="6" s="1"/>
  <c r="F7" i="1"/>
  <c r="E13" i="7"/>
  <c r="G39" i="3" l="1"/>
  <c r="G40" i="3" s="1"/>
  <c r="F21" i="7"/>
  <c r="F16" i="7"/>
  <c r="F22" i="7"/>
  <c r="I40" i="6"/>
  <c r="G21" i="7"/>
  <c r="I25" i="3"/>
  <c r="I26" i="3" s="1"/>
  <c r="I28" i="3" s="1"/>
  <c r="G16" i="7"/>
  <c r="G22" i="7"/>
  <c r="E17" i="7"/>
  <c r="D17" i="7"/>
  <c r="F17" i="7"/>
  <c r="E7" i="3"/>
  <c r="E7" i="1"/>
  <c r="E7" i="2"/>
  <c r="F18" i="6" s="1"/>
  <c r="F29" i="6" s="1"/>
  <c r="G14" i="7"/>
  <c r="G13" i="7"/>
  <c r="F14" i="7"/>
  <c r="F13" i="7"/>
  <c r="I45" i="6" l="1"/>
  <c r="I42" i="6"/>
  <c r="I44" i="6" s="1"/>
  <c r="C7" i="3"/>
  <c r="D7" i="1"/>
  <c r="J38" i="6"/>
  <c r="J25" i="3"/>
  <c r="J26" i="3" s="1"/>
  <c r="J28" i="3" s="1"/>
  <c r="I11" i="7"/>
  <c r="G17" i="7"/>
  <c r="G20" i="7"/>
  <c r="D7" i="2"/>
  <c r="E18" i="6" s="1"/>
  <c r="E29" i="6" s="1"/>
  <c r="C7" i="2"/>
  <c r="D18" i="6" s="1"/>
  <c r="D29" i="6" s="1"/>
  <c r="E14" i="7"/>
  <c r="K38" i="6" l="1"/>
  <c r="K25" i="3"/>
  <c r="K26" i="3" s="1"/>
  <c r="K28" i="3" s="1"/>
  <c r="I39" i="3"/>
  <c r="J39" i="6"/>
  <c r="J40" i="6" s="1"/>
  <c r="I9" i="7"/>
  <c r="I10" i="7"/>
  <c r="I25" i="7"/>
  <c r="G8" i="3"/>
  <c r="G23" i="3" s="1"/>
  <c r="G28" i="3" s="1"/>
  <c r="G41" i="3" s="1"/>
  <c r="G43" i="3" s="1"/>
  <c r="J45" i="6" l="1"/>
  <c r="J42" i="6"/>
  <c r="J44" i="6" s="1"/>
  <c r="L38" i="6"/>
  <c r="L25" i="3"/>
  <c r="L26" i="3" s="1"/>
  <c r="L28" i="3" s="1"/>
  <c r="J25" i="7"/>
  <c r="M38" i="6" l="1"/>
  <c r="M25" i="3"/>
  <c r="M26" i="3" s="1"/>
  <c r="M28" i="3" s="1"/>
  <c r="J9" i="7"/>
  <c r="J11" i="7"/>
  <c r="J10" i="7"/>
  <c r="J39" i="3" l="1"/>
  <c r="K39" i="6"/>
  <c r="K40" i="6" s="1"/>
  <c r="K45" i="6" l="1"/>
  <c r="K42" i="6"/>
  <c r="K44" i="6" s="1"/>
  <c r="J16" i="7"/>
  <c r="J22" i="7"/>
  <c r="J21" i="7"/>
  <c r="L39" i="6" l="1"/>
  <c r="L40" i="6" s="1"/>
  <c r="K21" i="7"/>
  <c r="K39" i="3"/>
  <c r="J17" i="7"/>
  <c r="J20" i="7"/>
  <c r="L45" i="6" l="1"/>
  <c r="L42" i="6"/>
  <c r="L44" i="6" s="1"/>
  <c r="L11" i="7"/>
  <c r="L25" i="7"/>
  <c r="K16" i="7"/>
  <c r="K34" i="3"/>
  <c r="K40" i="3" s="1"/>
  <c r="K41" i="3" s="1"/>
  <c r="K22" i="7"/>
  <c r="L10" i="7"/>
  <c r="L9" i="7"/>
  <c r="L39" i="3" l="1"/>
  <c r="L22" i="7"/>
  <c r="M39" i="6"/>
  <c r="M40" i="6" s="1"/>
  <c r="M45" i="6" l="1"/>
  <c r="M42" i="6"/>
  <c r="M44" i="6" s="1"/>
  <c r="M25" i="7"/>
  <c r="K20" i="7"/>
  <c r="K17" i="7"/>
  <c r="L21" i="7"/>
  <c r="L16" i="7"/>
  <c r="L34" i="3"/>
  <c r="L40" i="3" s="1"/>
  <c r="L41" i="3" s="1"/>
  <c r="M39" i="3"/>
  <c r="M11" i="7"/>
  <c r="M10" i="7"/>
  <c r="M9" i="7"/>
  <c r="L20" i="7" l="1"/>
  <c r="M16" i="7"/>
  <c r="L17" i="7" l="1"/>
  <c r="M21" i="7"/>
  <c r="M34" i="3"/>
  <c r="M40" i="3" s="1"/>
  <c r="M41" i="3" s="1"/>
  <c r="M43" i="3" s="1"/>
  <c r="M22" i="7"/>
  <c r="L43" i="3"/>
  <c r="K9" i="7"/>
  <c r="K10" i="7"/>
  <c r="K25" i="7"/>
  <c r="K43" i="3"/>
  <c r="K11" i="7"/>
  <c r="I22" i="7"/>
  <c r="I16" i="7"/>
  <c r="I21" i="7"/>
  <c r="I17" i="7" l="1"/>
  <c r="I20" i="7"/>
  <c r="J34" i="3"/>
  <c r="J40" i="3" s="1"/>
  <c r="J41" i="3" s="1"/>
  <c r="J43" i="3" s="1"/>
  <c r="I34" i="3"/>
  <c r="I40" i="3" s="1"/>
  <c r="I41" i="3" s="1"/>
  <c r="I43" i="3" s="1"/>
  <c r="M17" i="7" l="1"/>
  <c r="M20" i="7"/>
</calcChain>
</file>

<file path=xl/sharedStrings.xml><?xml version="1.0" encoding="utf-8"?>
<sst xmlns="http://schemas.openxmlformats.org/spreadsheetml/2006/main" count="234" uniqueCount="187">
  <si>
    <t>Position</t>
  </si>
  <si>
    <t>EBITDA</t>
  </si>
  <si>
    <t>EBIT</t>
  </si>
  <si>
    <t>check = 0</t>
  </si>
  <si>
    <t>FCF</t>
  </si>
  <si>
    <t>- Dividende</t>
  </si>
  <si>
    <t>Total</t>
  </si>
  <si>
    <t>Kapitalbindung</t>
  </si>
  <si>
    <t>Debitorenfrist</t>
  </si>
  <si>
    <t>Kreditorenfrist</t>
  </si>
  <si>
    <t>Lagerdauer</t>
  </si>
  <si>
    <t>Betriebsnotwendige Liquidite Mittel</t>
  </si>
  <si>
    <t xml:space="preserve">Total Aktiven (exkl. Überschüssiger Cash &amp; Dividende) </t>
  </si>
  <si>
    <t>Total Passiven (exkl. Finanzierungslücke &amp; Dividende)</t>
  </si>
  <si>
    <t>Überschüssiger Cash vor Dividende</t>
  </si>
  <si>
    <t>Überschüssige Liquide Mittel nach Dividende</t>
  </si>
  <si>
    <t>Dividende</t>
  </si>
  <si>
    <t>Tab</t>
  </si>
  <si>
    <t>D2</t>
  </si>
  <si>
    <t>D3</t>
  </si>
  <si>
    <t>D8-D12</t>
  </si>
  <si>
    <t>I19-M23</t>
  </si>
  <si>
    <t>I30-I32</t>
  </si>
  <si>
    <t>I33</t>
  </si>
  <si>
    <t>I43-M43</t>
  </si>
  <si>
    <t>Description</t>
  </si>
  <si>
    <t>Entrée nom de la société</t>
  </si>
  <si>
    <t>Entrée date des derniers comptes clôturés</t>
  </si>
  <si>
    <t>Enregistrement des comptes de résultats historiques</t>
  </si>
  <si>
    <t>Enregistrement des bilans historiques</t>
  </si>
  <si>
    <t>A. Comptes de résultats</t>
  </si>
  <si>
    <t>B. Bilan</t>
  </si>
  <si>
    <t>1. Etape</t>
  </si>
  <si>
    <t>2. Etape</t>
  </si>
  <si>
    <t>3. Etape</t>
  </si>
  <si>
    <t>4. Etape</t>
  </si>
  <si>
    <t>5. Etape</t>
  </si>
  <si>
    <t>6. Etape</t>
  </si>
  <si>
    <t>7. Etape</t>
  </si>
  <si>
    <t>8. Etape</t>
  </si>
  <si>
    <t>9. Etape</t>
  </si>
  <si>
    <t>10. Etape</t>
  </si>
  <si>
    <t>11. Etape</t>
  </si>
  <si>
    <t>Chiffre d'affaires net</t>
  </si>
  <si>
    <t>Charges matières</t>
  </si>
  <si>
    <t>Résultat brut</t>
  </si>
  <si>
    <t>en % du chiffre d'affaires net</t>
  </si>
  <si>
    <t>Frais de personnel</t>
  </si>
  <si>
    <t>Entretien, Réparation, Installations de remplacement</t>
  </si>
  <si>
    <t>Frais de transport et véhicules</t>
  </si>
  <si>
    <t>Assurances</t>
  </si>
  <si>
    <t>Frais d'électricité</t>
  </si>
  <si>
    <t>Frais administratifs et informatiques</t>
  </si>
  <si>
    <t>Frais de publicité</t>
  </si>
  <si>
    <t>Divers frais d'exploitation</t>
  </si>
  <si>
    <t>Amortissement</t>
  </si>
  <si>
    <t>Bénéfice</t>
  </si>
  <si>
    <t>en % de l'EBIT</t>
  </si>
  <si>
    <t>Impôts</t>
  </si>
  <si>
    <t>Résultat immobilier</t>
  </si>
  <si>
    <t>Résultat exceptionnel</t>
  </si>
  <si>
    <t>Résultat financier</t>
  </si>
  <si>
    <t>Nom de la société</t>
  </si>
  <si>
    <t>Date du dernier Exercice [tt.mm.jjjj]</t>
  </si>
  <si>
    <t>Compte de résultat en TCHF</t>
  </si>
  <si>
    <t>Prévisionnel-Année</t>
  </si>
  <si>
    <t>Effectif-Année</t>
  </si>
  <si>
    <t>Bilan en TCHF</t>
  </si>
  <si>
    <t>Liquidités</t>
  </si>
  <si>
    <t>Débiteurs</t>
  </si>
  <si>
    <t>Travaux en cours</t>
  </si>
  <si>
    <t>Actifs transitoires</t>
  </si>
  <si>
    <t>CC / Prêt intercompany</t>
  </si>
  <si>
    <t>Divers actifs circulants</t>
  </si>
  <si>
    <t>Immobilisations corporelles</t>
  </si>
  <si>
    <t>Immobilisations incorporelles</t>
  </si>
  <si>
    <t>Actifs immobilisés</t>
  </si>
  <si>
    <t>Actifs circulants</t>
  </si>
  <si>
    <t>ACTIFS</t>
  </si>
  <si>
    <t>Fournisseurs</t>
  </si>
  <si>
    <t>Passifs transitoires</t>
  </si>
  <si>
    <t>Avances clients</t>
  </si>
  <si>
    <t>Fonds étrangers à court terme</t>
  </si>
  <si>
    <t>Banques à court terme</t>
  </si>
  <si>
    <t>Divers fds étrangers à court terme</t>
  </si>
  <si>
    <t>Fonds étrangers à long terme</t>
  </si>
  <si>
    <t>Provisions</t>
  </si>
  <si>
    <t>Banques à long terme</t>
  </si>
  <si>
    <t>Hypothèques</t>
  </si>
  <si>
    <t>Divers fds étrangers à long terme</t>
  </si>
  <si>
    <t>Réserves légales</t>
  </si>
  <si>
    <t>Bénéfice net</t>
  </si>
  <si>
    <t>Fonds propres</t>
  </si>
  <si>
    <t>en % de la somme du bilan</t>
  </si>
  <si>
    <t>PASSIFS</t>
  </si>
  <si>
    <t>Réserves libres / Report</t>
  </si>
  <si>
    <t>Manque de financement</t>
  </si>
  <si>
    <t>Véhicules</t>
  </si>
  <si>
    <t>Informatique</t>
  </si>
  <si>
    <t>Machines</t>
  </si>
  <si>
    <t>Mobilier</t>
  </si>
  <si>
    <t>Immobilier (propre utilisation)</t>
  </si>
  <si>
    <t>Plan d'investissement TCHF</t>
  </si>
  <si>
    <t>Bilan prévisionnel TCHF</t>
  </si>
  <si>
    <t>Ammortissements p.a.</t>
  </si>
  <si>
    <t>Investissement de rempl. p.a.</t>
  </si>
  <si>
    <t>Valeur d'acquisition</t>
  </si>
  <si>
    <t>Immobilisations corporelles TCHF</t>
  </si>
  <si>
    <t>Immobilisations financières</t>
  </si>
  <si>
    <t>Rotation des débiteurs</t>
  </si>
  <si>
    <t>Rotation des stocks</t>
  </si>
  <si>
    <t>Rotation des fournisseurs</t>
  </si>
  <si>
    <t>Liquidités nécessaires à l'exploitation</t>
  </si>
  <si>
    <t>Plan de versements de Dividende TCHF</t>
  </si>
  <si>
    <t>Dividende effectif</t>
  </si>
  <si>
    <t>Plan de versements de Dividende</t>
  </si>
  <si>
    <t>Dividende maximum - prise en considération des liquidités</t>
  </si>
  <si>
    <t>Dividende maximum - prise en considération des réserves distribuables</t>
  </si>
  <si>
    <t>Cash excédentaire après Dividende</t>
  </si>
  <si>
    <t>Prév.-Année</t>
  </si>
  <si>
    <t>Tableau de flux de fonds</t>
  </si>
  <si>
    <t>+ Amortissements</t>
  </si>
  <si>
    <t>+ Résultats financiers</t>
  </si>
  <si>
    <t>+/- Debiteurs</t>
  </si>
  <si>
    <t>Provision sur débiteurs douteux</t>
  </si>
  <si>
    <t>+/- Provisions sur débiteurs douteux</t>
  </si>
  <si>
    <t>+/- Stocks</t>
  </si>
  <si>
    <t>+/- Travaux en cours</t>
  </si>
  <si>
    <t>+/- Actifs transitoires</t>
  </si>
  <si>
    <t>+/- Fournisseurs</t>
  </si>
  <si>
    <t>+/- Passifs transitoires</t>
  </si>
  <si>
    <t>+/- Avances clients</t>
  </si>
  <si>
    <t>+/- Divers actifs circulants</t>
  </si>
  <si>
    <t>Stocks</t>
  </si>
  <si>
    <t>+/- Divers fonds étrangers à court terme</t>
  </si>
  <si>
    <t>+/- Provisions</t>
  </si>
  <si>
    <t>Investissements</t>
  </si>
  <si>
    <t>- Résultats financiers</t>
  </si>
  <si>
    <t>+/- Hypothèques</t>
  </si>
  <si>
    <t>+/- Manque de financement</t>
  </si>
  <si>
    <t>+/- Banques à long terme</t>
  </si>
  <si>
    <t>+/- Banques à court terme</t>
  </si>
  <si>
    <t>+/- CC / Prêt Intercompany créditeur</t>
  </si>
  <si>
    <t>+/- CC / Prêt Intercompany débiteur</t>
  </si>
  <si>
    <t>+/- Réserves légales</t>
  </si>
  <si>
    <t>+/- Divers fonds étrangers à long terme</t>
  </si>
  <si>
    <t>Cash flow opérationnel</t>
  </si>
  <si>
    <t>Cash flow des investissements</t>
  </si>
  <si>
    <t>Cash flow des activités financières</t>
  </si>
  <si>
    <t>Changement des liquidités</t>
  </si>
  <si>
    <t>Profitabilité</t>
  </si>
  <si>
    <t>Rentabilité</t>
  </si>
  <si>
    <t>Financement</t>
  </si>
  <si>
    <t>Ratios</t>
  </si>
  <si>
    <t>Degré de liquidité I</t>
  </si>
  <si>
    <t>Degré de liquidité II</t>
  </si>
  <si>
    <t>Degré de liquidité III</t>
  </si>
  <si>
    <t>Marge EBITDA</t>
  </si>
  <si>
    <t>Marge Résultat brut</t>
  </si>
  <si>
    <t>Rentabilité des fonds propres</t>
  </si>
  <si>
    <t>Rentabilité p/r au chiffre d'affaires</t>
  </si>
  <si>
    <t>Rentabilité p/r à la somme du bilan</t>
  </si>
  <si>
    <t xml:space="preserve">Ratio Debt/Equity </t>
  </si>
  <si>
    <t>Degré de fonds propres</t>
  </si>
  <si>
    <t>Degré d'endettement - Brutto</t>
  </si>
  <si>
    <t>Degré d'endettement - Netto</t>
  </si>
  <si>
    <t>Debt Management</t>
  </si>
  <si>
    <t>Degré de couverture des immobil. II</t>
  </si>
  <si>
    <t>C. Bilan prévisionnel</t>
  </si>
  <si>
    <t>Calcul des Investissements de remplacement annuels estimés</t>
  </si>
  <si>
    <t>Planification des comptes de résultats prévisionnels</t>
  </si>
  <si>
    <t>Planification des investissements annuels futurs</t>
  </si>
  <si>
    <t>Planification du capital circulant futur (Débiteurs, Stocks, Fournisseurs)</t>
  </si>
  <si>
    <t>Détermination des liquidités minimum nécessaires à l'opérationnel</t>
  </si>
  <si>
    <t>Planification des Dividendes annuels futurs</t>
  </si>
  <si>
    <t>Planification des autres positions futures du bilan</t>
  </si>
  <si>
    <t>Etape</t>
  </si>
  <si>
    <t>Céllule</t>
  </si>
  <si>
    <t>= céllule modifiables avec input</t>
  </si>
  <si>
    <t>= céllule avec formules (pas d'input)</t>
  </si>
  <si>
    <t>B, D-G (Année en cours)</t>
  </si>
  <si>
    <t>C-F (Année en cours)</t>
  </si>
  <si>
    <t>I-M (PLAN annuel)</t>
  </si>
  <si>
    <t>H-L (PLAN annuel)</t>
  </si>
  <si>
    <t>Capital en actions</t>
  </si>
  <si>
    <t>+ Modification de l’actif courant net</t>
  </si>
  <si>
    <t>+/- Capital en actions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</si>
</sst>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 * #,##0.00_ ;_ * \-#,##0.00_ ;_ * &quot;-&quot;??_ ;_ @_ "/>
    <numFmt numFmtId="165" formatCode="0.0%"/>
    <numFmt numFmtId="166" formatCode="_ * #,##0_ ;_ * \-#,##0_ ;_ * &quot;-&quot;??_ ;_ @_ "/>
    <numFmt numFmtId="167" formatCode="#,##0,"/>
  </numFmts>
  <fonts count="20" x14ac:knownFonts="1">
    <font>
      <sz val="10.5"/>
      <color theme="1"/>
      <name val="Frutiger 45 Light"/>
      <family val="2"/>
    </font>
    <font>
      <b/>
      <sz val="10.5"/>
      <color theme="1"/>
      <name val="Frutiger 45 Light"/>
      <family val="2"/>
    </font>
    <font>
      <i/>
      <sz val="10.5"/>
      <color theme="1"/>
      <name val="Frutiger 45 Light"/>
      <family val="2"/>
    </font>
    <font>
      <sz val="10.5"/>
      <color theme="1"/>
      <name val="Frutiger 45 Light"/>
      <family val="2"/>
    </font>
    <font>
      <b/>
      <sz val="18"/>
      <color theme="3"/>
      <name val="UBSHeadline"/>
      <family val="2"/>
      <scheme val="major"/>
    </font>
    <font>
      <b/>
      <sz val="15"/>
      <color theme="3"/>
      <name val="Frutiger 45 Light"/>
      <family val="2"/>
    </font>
    <font>
      <b/>
      <sz val="13"/>
      <color theme="3"/>
      <name val="Frutiger 45 Light"/>
      <family val="2"/>
    </font>
    <font>
      <b/>
      <sz val="11"/>
      <color theme="3"/>
      <name val="Frutiger 45 Light"/>
      <family val="2"/>
    </font>
    <font>
      <sz val="10.5"/>
      <color rgb="FF006100"/>
      <name val="Frutiger 45 Light"/>
      <family val="2"/>
    </font>
    <font>
      <sz val="10.5"/>
      <color rgb="FF9C0006"/>
      <name val="Frutiger 45 Light"/>
      <family val="2"/>
    </font>
    <font>
      <sz val="10.5"/>
      <color rgb="FF9C6500"/>
      <name val="Frutiger 45 Light"/>
      <family val="2"/>
    </font>
    <font>
      <sz val="10.5"/>
      <color rgb="FF3F3F76"/>
      <name val="Frutiger 45 Light"/>
      <family val="2"/>
    </font>
    <font>
      <b/>
      <sz val="10.5"/>
      <color rgb="FF3F3F3F"/>
      <name val="Frutiger 45 Light"/>
      <family val="2"/>
    </font>
    <font>
      <b/>
      <sz val="10.5"/>
      <color rgb="FFFA7D00"/>
      <name val="Frutiger 45 Light"/>
      <family val="2"/>
    </font>
    <font>
      <sz val="10.5"/>
      <color rgb="FFFA7D00"/>
      <name val="Frutiger 45 Light"/>
      <family val="2"/>
    </font>
    <font>
      <b/>
      <sz val="10.5"/>
      <color theme="0"/>
      <name val="Frutiger 45 Light"/>
      <family val="2"/>
    </font>
    <font>
      <sz val="10.5"/>
      <color rgb="FFFF0000"/>
      <name val="Frutiger 45 Light"/>
      <family val="2"/>
    </font>
    <font>
      <i/>
      <sz val="10.5"/>
      <color rgb="FF7F7F7F"/>
      <name val="Frutiger 45 Light"/>
      <family val="2"/>
    </font>
    <font>
      <i/>
      <sz val="9"/>
      <color theme="1"/>
      <name val="Frutiger 45 Light"/>
      <family val="2"/>
    </font>
    <font>
      <b/>
      <sz val="10.5"/>
      <color rgb="FFFF0000"/>
      <name val="Frutiger 45 Light"/>
      <family val="2"/>
    </font>
  </fonts>
  <fills count="1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2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9">
    <xf numFmtId="0" fontId="0" fillId="0" borderId="0"/>
    <xf numFmtId="0" fontId="4" fillId="0" borderId="0" applyNumberFormat="0" applyFill="0" applyBorder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7" fillId="0" borderId="4" applyNumberFormat="0" applyFill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5" applyNumberFormat="0" applyAlignment="0" applyProtection="0"/>
    <xf numFmtId="0" fontId="12" fillId="6" borderId="6" applyNumberFormat="0" applyAlignment="0" applyProtection="0"/>
    <xf numFmtId="0" fontId="13" fillId="6" borderId="5" applyNumberFormat="0" applyAlignment="0" applyProtection="0"/>
    <xf numFmtId="0" fontId="14" fillId="0" borderId="7" applyNumberFormat="0" applyFill="0" applyAlignment="0" applyProtection="0"/>
    <xf numFmtId="0" fontId="15" fillId="7" borderId="8" applyNumberFormat="0" applyAlignment="0" applyProtection="0"/>
    <xf numFmtId="0" fontId="16" fillId="0" borderId="0" applyNumberFormat="0" applyFill="0" applyBorder="0" applyAlignment="0" applyProtection="0"/>
    <xf numFmtId="0" fontId="3" fillId="8" borderId="9" applyNumberFormat="0" applyFont="0" applyAlignment="0" applyProtection="0"/>
    <xf numFmtId="0" fontId="17" fillId="0" borderId="0" applyNumberFormat="0" applyFill="0" applyBorder="0" applyAlignment="0" applyProtection="0"/>
    <xf numFmtId="0" fontId="1" fillId="0" borderId="10" applyNumberFormat="0" applyFill="0" applyAlignment="0" applyProtection="0"/>
    <xf numFmtId="164" fontId="3" fillId="0" borderId="0" applyFont="0" applyFill="0" applyBorder="0" applyAlignment="0" applyProtection="0"/>
  </cellStyleXfs>
  <cellXfs count="119">
    <xf numFmtId="0" fontId="0" fillId="0" borderId="0" xfId="0"/>
    <xf numFmtId="0" fontId="0" fillId="0" borderId="0" xfId="0" quotePrefix="1"/>
    <xf numFmtId="0" fontId="1" fillId="0" borderId="0" xfId="0" applyFont="1"/>
    <xf numFmtId="0" fontId="2" fillId="0" borderId="0" xfId="0" applyFont="1"/>
    <xf numFmtId="0" fontId="1" fillId="0" borderId="0" xfId="0" quotePrefix="1" applyFont="1"/>
    <xf numFmtId="0" fontId="2" fillId="0" borderId="1" xfId="0" applyFont="1" applyBorder="1"/>
    <xf numFmtId="0" fontId="0" fillId="0" borderId="1" xfId="0" applyBorder="1"/>
    <xf numFmtId="14" fontId="0" fillId="0" borderId="1" xfId="0" applyNumberFormat="1" applyBorder="1"/>
    <xf numFmtId="165" fontId="2" fillId="0" borderId="0" xfId="0" applyNumberFormat="1" applyFont="1"/>
    <xf numFmtId="0" fontId="1" fillId="0" borderId="1" xfId="0" applyFont="1" applyBorder="1"/>
    <xf numFmtId="0" fontId="1" fillId="0" borderId="0" xfId="0" applyFont="1" applyBorder="1"/>
    <xf numFmtId="3" fontId="1" fillId="0" borderId="0" xfId="0" applyNumberFormat="1" applyFont="1" applyBorder="1"/>
    <xf numFmtId="0" fontId="2" fillId="0" borderId="0" xfId="0" applyFont="1" applyBorder="1"/>
    <xf numFmtId="0" fontId="1" fillId="0" borderId="11" xfId="0" applyFont="1" applyBorder="1"/>
    <xf numFmtId="3" fontId="2" fillId="0" borderId="0" xfId="0" applyNumberFormat="1" applyFont="1"/>
    <xf numFmtId="0" fontId="2" fillId="0" borderId="0" xfId="0" quotePrefix="1" applyFont="1"/>
    <xf numFmtId="14" fontId="0" fillId="0" borderId="1" xfId="0" applyNumberFormat="1" applyFont="1" applyBorder="1"/>
    <xf numFmtId="165" fontId="2" fillId="0" borderId="1" xfId="0" applyNumberFormat="1" applyFont="1" applyBorder="1"/>
    <xf numFmtId="0" fontId="2" fillId="0" borderId="0" xfId="0" applyFont="1" applyAlignment="1"/>
    <xf numFmtId="165" fontId="0" fillId="0" borderId="0" xfId="0" applyNumberFormat="1" applyFont="1" applyBorder="1"/>
    <xf numFmtId="0" fontId="0" fillId="0" borderId="15" xfId="0" quotePrefix="1" applyBorder="1"/>
    <xf numFmtId="0" fontId="0" fillId="0" borderId="0" xfId="0" applyFill="1"/>
    <xf numFmtId="0" fontId="1" fillId="0" borderId="14" xfId="0" quotePrefix="1" applyFont="1" applyBorder="1"/>
    <xf numFmtId="0" fontId="2" fillId="0" borderId="1" xfId="0" applyFont="1" applyFill="1" applyBorder="1"/>
    <xf numFmtId="0" fontId="2" fillId="0" borderId="0" xfId="0" applyFont="1" applyFill="1"/>
    <xf numFmtId="0" fontId="1" fillId="0" borderId="11" xfId="0" quotePrefix="1" applyFont="1" applyBorder="1"/>
    <xf numFmtId="0" fontId="0" fillId="0" borderId="1" xfId="0" quotePrefix="1" applyBorder="1"/>
    <xf numFmtId="0" fontId="2" fillId="9" borderId="0" xfId="0" applyFont="1" applyFill="1"/>
    <xf numFmtId="0" fontId="0" fillId="0" borderId="16" xfId="0" applyBorder="1"/>
    <xf numFmtId="0" fontId="0" fillId="0" borderId="17" xfId="0" applyBorder="1"/>
    <xf numFmtId="0" fontId="1" fillId="0" borderId="17" xfId="0" applyFont="1" applyBorder="1"/>
    <xf numFmtId="0" fontId="2" fillId="0" borderId="17" xfId="0" applyFont="1" applyBorder="1"/>
    <xf numFmtId="0" fontId="2" fillId="0" borderId="16" xfId="0" applyFont="1" applyBorder="1"/>
    <xf numFmtId="9" fontId="0" fillId="0" borderId="0" xfId="0" applyNumberFormat="1"/>
    <xf numFmtId="14" fontId="0" fillId="0" borderId="0" xfId="0" applyNumberFormat="1" applyBorder="1"/>
    <xf numFmtId="0" fontId="2" fillId="9" borderId="1" xfId="0" applyFont="1" applyFill="1" applyBorder="1"/>
    <xf numFmtId="3" fontId="0" fillId="0" borderId="1" xfId="0" applyNumberFormat="1" applyFill="1" applyBorder="1"/>
    <xf numFmtId="0" fontId="2" fillId="9" borderId="0" xfId="0" applyFont="1" applyFill="1" applyBorder="1"/>
    <xf numFmtId="0" fontId="0" fillId="0" borderId="11" xfId="0" applyBorder="1"/>
    <xf numFmtId="2" fontId="0" fillId="0" borderId="0" xfId="0" applyNumberFormat="1"/>
    <xf numFmtId="1" fontId="0" fillId="0" borderId="0" xfId="0" applyNumberFormat="1"/>
    <xf numFmtId="14" fontId="0" fillId="0" borderId="15" xfId="0" applyNumberFormat="1" applyBorder="1"/>
    <xf numFmtId="3" fontId="0" fillId="10" borderId="0" xfId="0" applyNumberFormat="1" applyFill="1"/>
    <xf numFmtId="3" fontId="0" fillId="10" borderId="1" xfId="0" applyNumberFormat="1" applyFill="1" applyBorder="1"/>
    <xf numFmtId="0" fontId="0" fillId="0" borderId="0" xfId="0" applyAlignment="1"/>
    <xf numFmtId="0" fontId="0" fillId="0" borderId="15" xfId="0" applyBorder="1"/>
    <xf numFmtId="0" fontId="1" fillId="0" borderId="18" xfId="0" applyFont="1" applyBorder="1"/>
    <xf numFmtId="9" fontId="0" fillId="0" borderId="1" xfId="0" applyNumberFormat="1" applyFill="1" applyBorder="1"/>
    <xf numFmtId="0" fontId="2" fillId="0" borderId="17" xfId="0" applyFont="1" applyBorder="1" applyAlignment="1"/>
    <xf numFmtId="0" fontId="1" fillId="0" borderId="15" xfId="0" applyFont="1" applyBorder="1"/>
    <xf numFmtId="0" fontId="18" fillId="0" borderId="0" xfId="0" applyFont="1"/>
    <xf numFmtId="0" fontId="18" fillId="0" borderId="17" xfId="0" applyFont="1" applyBorder="1"/>
    <xf numFmtId="9" fontId="0" fillId="0" borderId="17" xfId="0" applyNumberFormat="1" applyBorder="1"/>
    <xf numFmtId="2" fontId="0" fillId="0" borderId="17" xfId="0" applyNumberFormat="1" applyBorder="1"/>
    <xf numFmtId="9" fontId="0" fillId="0" borderId="15" xfId="0" applyNumberFormat="1" applyBorder="1"/>
    <xf numFmtId="9" fontId="0" fillId="0" borderId="1" xfId="0" applyNumberFormat="1" applyBorder="1"/>
    <xf numFmtId="166" fontId="1" fillId="0" borderId="0" xfId="18" applyNumberFormat="1" applyFont="1"/>
    <xf numFmtId="2" fontId="0" fillId="0" borderId="15" xfId="0" applyNumberFormat="1" applyBorder="1"/>
    <xf numFmtId="2" fontId="0" fillId="0" borderId="1" xfId="0" applyNumberFormat="1" applyBorder="1"/>
    <xf numFmtId="2" fontId="0" fillId="0" borderId="13" xfId="0" applyNumberFormat="1" applyBorder="1"/>
    <xf numFmtId="167" fontId="0" fillId="0" borderId="0" xfId="0" applyNumberFormat="1"/>
    <xf numFmtId="167" fontId="2" fillId="0" borderId="0" xfId="0" applyNumberFormat="1" applyFont="1"/>
    <xf numFmtId="167" fontId="1" fillId="0" borderId="0" xfId="0" applyNumberFormat="1" applyFont="1"/>
    <xf numFmtId="167" fontId="0" fillId="0" borderId="0" xfId="0" applyNumberFormat="1" applyFill="1"/>
    <xf numFmtId="167" fontId="0" fillId="0" borderId="1" xfId="0" applyNumberFormat="1" applyFill="1" applyBorder="1"/>
    <xf numFmtId="167" fontId="1" fillId="0" borderId="0" xfId="0" applyNumberFormat="1" applyFont="1" applyFill="1"/>
    <xf numFmtId="167" fontId="0" fillId="0" borderId="0" xfId="0" quotePrefix="1" applyNumberFormat="1"/>
    <xf numFmtId="167" fontId="1" fillId="0" borderId="1" xfId="0" applyNumberFormat="1" applyFont="1" applyBorder="1"/>
    <xf numFmtId="167" fontId="1" fillId="0" borderId="11" xfId="0" applyNumberFormat="1" applyFont="1" applyBorder="1"/>
    <xf numFmtId="167" fontId="1" fillId="0" borderId="15" xfId="18" applyNumberFormat="1" applyFont="1" applyBorder="1"/>
    <xf numFmtId="167" fontId="1" fillId="0" borderId="1" xfId="18" applyNumberFormat="1" applyFont="1" applyBorder="1"/>
    <xf numFmtId="167" fontId="0" fillId="11" borderId="0" xfId="0" applyNumberFormat="1" applyFill="1"/>
    <xf numFmtId="167" fontId="18" fillId="11" borderId="0" xfId="0" applyNumberFormat="1" applyFont="1" applyFill="1"/>
    <xf numFmtId="167" fontId="1" fillId="0" borderId="0" xfId="18" applyNumberFormat="1" applyFont="1"/>
    <xf numFmtId="167" fontId="1" fillId="0" borderId="15" xfId="0" applyNumberFormat="1" applyFont="1" applyBorder="1"/>
    <xf numFmtId="167" fontId="1" fillId="0" borderId="0" xfId="0" applyNumberFormat="1" applyFont="1" applyBorder="1"/>
    <xf numFmtId="0" fontId="0" fillId="0" borderId="11" xfId="0" quotePrefix="1" applyBorder="1"/>
    <xf numFmtId="0" fontId="0" fillId="0" borderId="18" xfId="0" applyBorder="1"/>
    <xf numFmtId="0" fontId="0" fillId="0" borderId="0" xfId="0" quotePrefix="1" applyBorder="1"/>
    <xf numFmtId="0" fontId="0" fillId="0" borderId="0" xfId="0" applyBorder="1"/>
    <xf numFmtId="0" fontId="0" fillId="0" borderId="18" xfId="0" quotePrefix="1" applyBorder="1"/>
    <xf numFmtId="0" fontId="0" fillId="0" borderId="0" xfId="0" applyFill="1" applyBorder="1"/>
    <xf numFmtId="0" fontId="0" fillId="0" borderId="12" xfId="0" applyBorder="1"/>
    <xf numFmtId="0" fontId="0" fillId="0" borderId="19" xfId="0" applyBorder="1"/>
    <xf numFmtId="0" fontId="1" fillId="0" borderId="13" xfId="0" applyFont="1" applyBorder="1"/>
    <xf numFmtId="0" fontId="0" fillId="0" borderId="19" xfId="0" applyFill="1" applyBorder="1"/>
    <xf numFmtId="0" fontId="0" fillId="0" borderId="1" xfId="0" applyFill="1" applyBorder="1"/>
    <xf numFmtId="0" fontId="0" fillId="0" borderId="13" xfId="0" applyFill="1" applyBorder="1"/>
    <xf numFmtId="167" fontId="19" fillId="0" borderId="0" xfId="18" applyNumberFormat="1" applyFont="1" applyFill="1"/>
    <xf numFmtId="167" fontId="19" fillId="0" borderId="0" xfId="18" applyNumberFormat="1" applyFont="1"/>
    <xf numFmtId="0" fontId="0" fillId="0" borderId="19" xfId="0" applyFill="1" applyBorder="1" applyAlignment="1">
      <alignment wrapText="1"/>
    </xf>
    <xf numFmtId="0" fontId="2" fillId="0" borderId="0" xfId="0" applyFont="1" applyAlignment="1">
      <alignment horizontal="center"/>
    </xf>
    <xf numFmtId="14" fontId="0" fillId="0" borderId="1" xfId="0" applyNumberFormat="1" applyBorder="1" applyAlignment="1">
      <alignment horizontal="center"/>
    </xf>
    <xf numFmtId="14" fontId="0" fillId="0" borderId="13" xfId="0" applyNumberForma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2" fillId="0" borderId="0" xfId="0" applyFont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2" fillId="0" borderId="18" xfId="0" applyFont="1" applyBorder="1" applyAlignment="1">
      <alignment horizontal="center"/>
    </xf>
    <xf numFmtId="0" fontId="1" fillId="0" borderId="11" xfId="0" quotePrefix="1" applyFont="1" applyFill="1" applyBorder="1" applyAlignment="1">
      <alignment horizontal="center"/>
    </xf>
    <xf numFmtId="0" fontId="1" fillId="0" borderId="12" xfId="0" quotePrefix="1" applyFont="1" applyFill="1" applyBorder="1" applyAlignment="1">
      <alignment horizontal="center"/>
    </xf>
    <xf numFmtId="14" fontId="0" fillId="0" borderId="1" xfId="0" quotePrefix="1" applyNumberFormat="1" applyFill="1" applyBorder="1" applyAlignment="1">
      <alignment horizontal="center"/>
    </xf>
    <xf numFmtId="14" fontId="0" fillId="0" borderId="13" xfId="0" quotePrefix="1" applyNumberFormat="1" applyFill="1" applyBorder="1" applyAlignment="1">
      <alignment horizontal="center"/>
    </xf>
    <xf numFmtId="0" fontId="0" fillId="12" borderId="14" xfId="0" applyFill="1" applyBorder="1"/>
    <xf numFmtId="0" fontId="1" fillId="12" borderId="14" xfId="0" quotePrefix="1" applyFont="1" applyFill="1" applyBorder="1" applyAlignment="1">
      <alignment horizontal="center"/>
    </xf>
    <xf numFmtId="0" fontId="1" fillId="12" borderId="11" xfId="0" quotePrefix="1" applyFont="1" applyFill="1" applyBorder="1" applyAlignment="1">
      <alignment horizontal="center"/>
    </xf>
    <xf numFmtId="0" fontId="1" fillId="12" borderId="12" xfId="0" quotePrefix="1" applyFont="1" applyFill="1" applyBorder="1" applyAlignment="1">
      <alignment horizontal="center"/>
    </xf>
    <xf numFmtId="14" fontId="0" fillId="12" borderId="15" xfId="0" quotePrefix="1" applyNumberFormat="1" applyFill="1" applyBorder="1" applyAlignment="1">
      <alignment horizontal="center"/>
    </xf>
    <xf numFmtId="14" fontId="0" fillId="12" borderId="1" xfId="0" quotePrefix="1" applyNumberFormat="1" applyFill="1" applyBorder="1" applyAlignment="1">
      <alignment horizontal="center"/>
    </xf>
    <xf numFmtId="14" fontId="0" fillId="12" borderId="13" xfId="0" quotePrefix="1" applyNumberFormat="1" applyFill="1" applyBorder="1" applyAlignment="1">
      <alignment horizontal="center"/>
    </xf>
    <xf numFmtId="0" fontId="1" fillId="12" borderId="0" xfId="0" applyFont="1" applyFill="1"/>
    <xf numFmtId="0" fontId="0" fillId="12" borderId="0" xfId="0" applyFill="1"/>
    <xf numFmtId="167" fontId="0" fillId="12" borderId="0" xfId="0" quotePrefix="1" applyNumberFormat="1" applyFill="1"/>
    <xf numFmtId="167" fontId="0" fillId="12" borderId="0" xfId="0" applyNumberFormat="1" applyFill="1"/>
    <xf numFmtId="0" fontId="2" fillId="12" borderId="0" xfId="0" applyFont="1" applyFill="1"/>
    <xf numFmtId="167" fontId="18" fillId="12" borderId="0" xfId="0" applyNumberFormat="1" applyFont="1" applyFill="1"/>
    <xf numFmtId="0" fontId="1" fillId="12" borderId="0" xfId="0" applyFont="1" applyFill="1" applyBorder="1"/>
    <xf numFmtId="0" fontId="1" fillId="12" borderId="17" xfId="0" applyFont="1" applyFill="1" applyBorder="1"/>
    <xf numFmtId="3" fontId="0" fillId="12" borderId="0" xfId="0" applyNumberFormat="1" applyFill="1"/>
  </cellXfs>
  <cellStyles count="19">
    <cellStyle name="Bad" xfId="7" builtinId="27" hidden="1"/>
    <cellStyle name="Calculation" xfId="11" builtinId="22" hidden="1"/>
    <cellStyle name="Check Cell" xfId="13" builtinId="23" hidden="1"/>
    <cellStyle name="Comma" xfId="18" builtinId="3"/>
    <cellStyle name="Explanatory Text" xfId="16" builtinId="53" hidden="1"/>
    <cellStyle name="Good" xfId="6" builtinId="26" hidden="1"/>
    <cellStyle name="Heading 1" xfId="2" builtinId="16" hidden="1"/>
    <cellStyle name="Heading 2" xfId="3" builtinId="17" hidden="1"/>
    <cellStyle name="Heading 3" xfId="4" builtinId="18" hidden="1"/>
    <cellStyle name="Heading 4" xfId="5" builtinId="19" hidden="1"/>
    <cellStyle name="Input" xfId="9" builtinId="20" hidden="1"/>
    <cellStyle name="Linked Cell" xfId="12" builtinId="24" hidden="1"/>
    <cellStyle name="Neutral" xfId="8" builtinId="28" hidden="1"/>
    <cellStyle name="Normal" xfId="0" builtinId="0"/>
    <cellStyle name="Note" xfId="15" builtinId="10" hidden="1"/>
    <cellStyle name="Output" xfId="10" builtinId="21" hidden="1"/>
    <cellStyle name="Title" xfId="1" builtinId="15" hidden="1"/>
    <cellStyle name="Total" xfId="17" builtinId="25" hidden="1"/>
    <cellStyle name="Warning Text" xfId="14" builtinId="11" hidde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USINESS\_03_Marketing%20C&amp;I%20Clients%20CIC\2_Corporate%20Clients_CC\2_KMU\Businessplan\neu\f&#252;rs%20Web\DE\Vorlage%20Finanzplan%20Businesspla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ad Me"/>
      <sheetName val="A. Erfolgsrechnung"/>
      <sheetName val="B. Bilanz"/>
      <sheetName val="C. Bilanzplanung"/>
      <sheetName val="D. Geldflussrechnung"/>
      <sheetName val="E. Kennzahlen"/>
    </sheetNames>
    <sheetDataSet>
      <sheetData sheetId="0" refreshError="1"/>
      <sheetData sheetId="1">
        <row r="34">
          <cell r="D34">
            <v>0</v>
          </cell>
          <cell r="E34">
            <v>0</v>
          </cell>
          <cell r="F34">
            <v>0</v>
          </cell>
          <cell r="G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</row>
      </sheetData>
      <sheetData sheetId="2">
        <row r="24">
          <cell r="C24">
            <v>0</v>
          </cell>
          <cell r="D24">
            <v>0</v>
          </cell>
          <cell r="E24">
            <v>0</v>
          </cell>
          <cell r="F24">
            <v>0</v>
          </cell>
        </row>
        <row r="45">
          <cell r="H45">
            <v>0</v>
          </cell>
          <cell r="I45">
            <v>0</v>
          </cell>
          <cell r="J45">
            <v>0</v>
          </cell>
          <cell r="K45">
            <v>0</v>
          </cell>
        </row>
        <row r="46">
          <cell r="F46">
            <v>0</v>
          </cell>
        </row>
      </sheetData>
      <sheetData sheetId="3">
        <row r="44"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</row>
        <row r="45"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</row>
      </sheetData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PresXpress_Print_Theme">
  <a:themeElements>
    <a:clrScheme name="UBSNewColorsV2">
      <a:dk1>
        <a:sysClr val="windowText" lastClr="000000"/>
      </a:dk1>
      <a:lt1>
        <a:sysClr val="window" lastClr="FFFFFF"/>
      </a:lt1>
      <a:dk2>
        <a:srgbClr val="E60000"/>
      </a:dk2>
      <a:lt2>
        <a:srgbClr val="FFFFFF"/>
      </a:lt2>
      <a:accent1>
        <a:srgbClr val="4D3C2F"/>
      </a:accent1>
      <a:accent2>
        <a:srgbClr val="CFBD9B"/>
      </a:accent2>
      <a:accent3>
        <a:srgbClr val="C07156"/>
      </a:accent3>
      <a:accent4>
        <a:srgbClr val="E8C767"/>
      </a:accent4>
      <a:accent5>
        <a:srgbClr val="AEB0B3"/>
      </a:accent5>
      <a:accent6>
        <a:srgbClr val="A43725"/>
      </a:accent6>
      <a:hlink>
        <a:srgbClr val="0000FF"/>
      </a:hlink>
      <a:folHlink>
        <a:srgbClr val="800080"/>
      </a:folHlink>
    </a:clrScheme>
    <a:fontScheme name="UBS Fontset">
      <a:majorFont>
        <a:latin typeface="UBSHeadline"/>
        <a:ea typeface="MS PGothic"/>
        <a:cs typeface=""/>
      </a:majorFont>
      <a:minorFont>
        <a:latin typeface="Frutiger 45 Light"/>
        <a:ea typeface="MS PGothic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noFill/>
        <a:ln w="19050">
          <a:solidFill>
            <a:srgbClr val="7B7D80"/>
          </a:solidFill>
        </a:ln>
      </a:spPr>
      <a:bodyPr lIns="0" tIns="0" rIns="0" bIns="0" rtlCol="0" anchor="ctr"/>
      <a:lstStyle>
        <a:defPPr algn="ctr">
          <a:defRPr sz="1100" dirty="0">
            <a:solidFill>
              <a:schemeClr val="tx1"/>
            </a:solidFill>
          </a:defRPr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>
        <a:ln w="6350">
          <a:solidFill>
            <a:schemeClr val="tx1"/>
          </a:solidFill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>
        <a:noFill/>
      </a:spPr>
      <a:bodyPr wrap="square" lIns="0" tIns="0" rIns="0" bIns="0" rtlCol="0">
        <a:noAutofit/>
      </a:bodyPr>
      <a:lstStyle>
        <a:defPPr>
          <a:defRPr sz="1100" dirty="0">
            <a:latin typeface="+mn-lt"/>
          </a:defRPr>
        </a:defPPr>
      </a:lst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G28"/>
  <sheetViews>
    <sheetView workbookViewId="0">
      <selection activeCell="C30" sqref="C30"/>
    </sheetView>
  </sheetViews>
  <sheetFormatPr defaultColWidth="8.75" defaultRowHeight="15.75" x14ac:dyDescent="0.3"/>
  <cols>
    <col min="1" max="1" width="4.625" customWidth="1"/>
    <col min="3" max="3" width="58.25" customWidth="1"/>
    <col min="4" max="7" width="20.625" customWidth="1"/>
  </cols>
  <sheetData>
    <row r="1" spans="2:7" x14ac:dyDescent="0.3">
      <c r="F1" s="79"/>
      <c r="G1" s="79"/>
    </row>
    <row r="2" spans="2:7" x14ac:dyDescent="0.3">
      <c r="B2" s="103"/>
      <c r="C2" s="76" t="s">
        <v>178</v>
      </c>
      <c r="D2" s="38"/>
      <c r="E2" s="82"/>
      <c r="F2" s="79"/>
      <c r="G2" s="79"/>
    </row>
    <row r="3" spans="2:7" x14ac:dyDescent="0.3">
      <c r="B3" s="77"/>
      <c r="C3" s="78" t="s">
        <v>179</v>
      </c>
      <c r="D3" s="79"/>
      <c r="E3" s="83"/>
      <c r="F3" s="79"/>
      <c r="G3" s="79"/>
    </row>
    <row r="4" spans="2:7" x14ac:dyDescent="0.3">
      <c r="B4" s="77"/>
      <c r="C4" s="78"/>
      <c r="D4" s="79"/>
      <c r="E4" s="83"/>
      <c r="F4" s="79"/>
      <c r="G4" s="79"/>
    </row>
    <row r="5" spans="2:7" x14ac:dyDescent="0.3">
      <c r="B5" s="49" t="s">
        <v>176</v>
      </c>
      <c r="C5" s="9" t="s">
        <v>25</v>
      </c>
      <c r="D5" s="9" t="s">
        <v>17</v>
      </c>
      <c r="E5" s="84" t="s">
        <v>177</v>
      </c>
      <c r="F5" s="10"/>
      <c r="G5" s="10"/>
    </row>
    <row r="6" spans="2:7" x14ac:dyDescent="0.3">
      <c r="B6" s="80" t="s">
        <v>32</v>
      </c>
      <c r="C6" s="81" t="s">
        <v>26</v>
      </c>
      <c r="D6" s="79" t="s">
        <v>30</v>
      </c>
      <c r="E6" s="85" t="s">
        <v>18</v>
      </c>
      <c r="F6" s="79"/>
      <c r="G6" s="79"/>
    </row>
    <row r="7" spans="2:7" x14ac:dyDescent="0.3">
      <c r="B7" s="77" t="s">
        <v>33</v>
      </c>
      <c r="C7" s="81" t="s">
        <v>27</v>
      </c>
      <c r="D7" s="79" t="s">
        <v>30</v>
      </c>
      <c r="E7" s="83" t="s">
        <v>19</v>
      </c>
      <c r="F7" s="79"/>
      <c r="G7" s="79"/>
    </row>
    <row r="8" spans="2:7" x14ac:dyDescent="0.3">
      <c r="B8" s="77" t="s">
        <v>34</v>
      </c>
      <c r="C8" s="79" t="s">
        <v>28</v>
      </c>
      <c r="D8" s="81" t="s">
        <v>30</v>
      </c>
      <c r="E8" s="85" t="s">
        <v>180</v>
      </c>
      <c r="F8" s="79"/>
      <c r="G8" s="79"/>
    </row>
    <row r="9" spans="2:7" x14ac:dyDescent="0.3">
      <c r="B9" s="77" t="s">
        <v>35</v>
      </c>
      <c r="C9" s="81" t="s">
        <v>29</v>
      </c>
      <c r="D9" s="81" t="s">
        <v>31</v>
      </c>
      <c r="E9" s="90" t="s">
        <v>181</v>
      </c>
      <c r="F9" s="79"/>
      <c r="G9" s="79"/>
    </row>
    <row r="10" spans="2:7" x14ac:dyDescent="0.3">
      <c r="B10" s="77" t="s">
        <v>36</v>
      </c>
      <c r="C10" s="81" t="s">
        <v>170</v>
      </c>
      <c r="D10" s="81" t="s">
        <v>30</v>
      </c>
      <c r="E10" s="85" t="s">
        <v>182</v>
      </c>
      <c r="F10" s="79"/>
      <c r="G10" s="79"/>
    </row>
    <row r="11" spans="2:7" x14ac:dyDescent="0.3">
      <c r="B11" s="77" t="s">
        <v>37</v>
      </c>
      <c r="C11" s="81" t="s">
        <v>169</v>
      </c>
      <c r="D11" s="81" t="s">
        <v>168</v>
      </c>
      <c r="E11" s="85" t="s">
        <v>20</v>
      </c>
      <c r="F11" s="79"/>
      <c r="G11" s="79"/>
    </row>
    <row r="12" spans="2:7" x14ac:dyDescent="0.3">
      <c r="B12" s="77" t="s">
        <v>38</v>
      </c>
      <c r="C12" s="81" t="s">
        <v>171</v>
      </c>
      <c r="D12" s="81" t="s">
        <v>168</v>
      </c>
      <c r="E12" s="85" t="s">
        <v>21</v>
      </c>
      <c r="F12" s="79"/>
      <c r="G12" s="79"/>
    </row>
    <row r="13" spans="2:7" x14ac:dyDescent="0.3">
      <c r="B13" s="77" t="s">
        <v>39</v>
      </c>
      <c r="C13" s="81" t="s">
        <v>172</v>
      </c>
      <c r="D13" s="81" t="s">
        <v>168</v>
      </c>
      <c r="E13" s="85" t="s">
        <v>22</v>
      </c>
      <c r="F13" s="79"/>
      <c r="G13" s="79"/>
    </row>
    <row r="14" spans="2:7" x14ac:dyDescent="0.3">
      <c r="B14" s="77" t="s">
        <v>40</v>
      </c>
      <c r="C14" s="81" t="s">
        <v>173</v>
      </c>
      <c r="D14" s="81" t="s">
        <v>168</v>
      </c>
      <c r="E14" s="85" t="s">
        <v>23</v>
      </c>
      <c r="F14" s="79"/>
      <c r="G14" s="79"/>
    </row>
    <row r="15" spans="2:7" x14ac:dyDescent="0.3">
      <c r="B15" s="77" t="s">
        <v>41</v>
      </c>
      <c r="C15" s="81" t="s">
        <v>175</v>
      </c>
      <c r="D15" s="81" t="s">
        <v>31</v>
      </c>
      <c r="E15" s="85" t="s">
        <v>183</v>
      </c>
      <c r="F15" s="79"/>
      <c r="G15" s="79"/>
    </row>
    <row r="16" spans="2:7" x14ac:dyDescent="0.3">
      <c r="B16" s="45" t="s">
        <v>42</v>
      </c>
      <c r="C16" s="86" t="s">
        <v>174</v>
      </c>
      <c r="D16" s="86" t="s">
        <v>168</v>
      </c>
      <c r="E16" s="87" t="s">
        <v>24</v>
      </c>
      <c r="F16" s="79"/>
      <c r="G16" s="79"/>
    </row>
    <row r="17" spans="2:7" x14ac:dyDescent="0.3">
      <c r="B17" s="79"/>
      <c r="C17" s="79"/>
      <c r="D17" s="79"/>
      <c r="E17" s="79"/>
      <c r="F17" s="79"/>
      <c r="G17" s="79"/>
    </row>
    <row r="18" spans="2:7" x14ac:dyDescent="0.3">
      <c r="B18" s="79"/>
      <c r="C18" s="81"/>
      <c r="D18" s="79"/>
      <c r="E18" s="79"/>
      <c r="F18" s="79"/>
      <c r="G18" s="79"/>
    </row>
    <row r="19" spans="2:7" x14ac:dyDescent="0.3">
      <c r="B19" s="79"/>
      <c r="C19" s="81"/>
      <c r="D19" s="79"/>
      <c r="E19" s="79"/>
      <c r="F19" s="79"/>
      <c r="G19" s="79"/>
    </row>
    <row r="20" spans="2:7" x14ac:dyDescent="0.3">
      <c r="B20" s="79"/>
      <c r="C20" s="81"/>
      <c r="D20" s="79"/>
      <c r="E20" s="79"/>
      <c r="F20" s="79"/>
      <c r="G20" s="79"/>
    </row>
    <row r="21" spans="2:7" x14ac:dyDescent="0.3">
      <c r="B21" s="79"/>
      <c r="C21" s="81"/>
      <c r="D21" s="79"/>
      <c r="E21" s="79"/>
      <c r="F21" s="79"/>
      <c r="G21" s="79"/>
    </row>
    <row r="22" spans="2:7" x14ac:dyDescent="0.3">
      <c r="B22" s="79"/>
      <c r="C22" s="81"/>
      <c r="D22" s="79"/>
      <c r="E22" s="79"/>
      <c r="F22" s="79"/>
      <c r="G22" s="79"/>
    </row>
    <row r="23" spans="2:7" x14ac:dyDescent="0.3">
      <c r="B23" s="79"/>
      <c r="C23" s="81"/>
      <c r="D23" s="79"/>
      <c r="E23" s="79"/>
      <c r="F23" s="79"/>
      <c r="G23" s="79"/>
    </row>
    <row r="24" spans="2:7" x14ac:dyDescent="0.3">
      <c r="B24" s="79"/>
      <c r="C24" s="81"/>
      <c r="D24" s="79"/>
      <c r="E24" s="79"/>
      <c r="F24" s="79"/>
      <c r="G24" s="79"/>
    </row>
    <row r="25" spans="2:7" x14ac:dyDescent="0.3">
      <c r="B25" s="79"/>
      <c r="C25" s="81"/>
      <c r="D25" s="79"/>
      <c r="E25" s="79"/>
      <c r="F25" s="79"/>
      <c r="G25" s="79"/>
    </row>
    <row r="26" spans="2:7" x14ac:dyDescent="0.3">
      <c r="B26" s="79"/>
      <c r="C26" s="81"/>
      <c r="D26" s="79"/>
      <c r="E26" s="79"/>
      <c r="F26" s="79"/>
      <c r="G26" s="79"/>
    </row>
    <row r="27" spans="2:7" x14ac:dyDescent="0.3">
      <c r="B27" s="79"/>
      <c r="C27" s="79"/>
      <c r="D27" s="79"/>
      <c r="E27" s="79"/>
      <c r="F27" s="79"/>
      <c r="G27" s="79"/>
    </row>
    <row r="28" spans="2:7" x14ac:dyDescent="0.3">
      <c r="B28" s="79"/>
      <c r="C28" s="79"/>
      <c r="D28" s="79"/>
      <c r="E28" s="79"/>
      <c r="F28" s="79"/>
      <c r="G28" s="79"/>
    </row>
  </sheetData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V35"/>
  <sheetViews>
    <sheetView showGridLines="0" zoomScale="90" zoomScaleNormal="90" workbookViewId="0">
      <selection activeCell="S29" sqref="S29"/>
    </sheetView>
  </sheetViews>
  <sheetFormatPr defaultColWidth="8.75" defaultRowHeight="15.75" x14ac:dyDescent="0.3"/>
  <cols>
    <col min="1" max="1" width="4.625" customWidth="1"/>
    <col min="2" max="2" width="45.25" bestFit="1" customWidth="1"/>
    <col min="3" max="3" width="0.75" customWidth="1"/>
    <col min="4" max="7" width="10.625" customWidth="1"/>
    <col min="8" max="8" width="0.875" customWidth="1"/>
    <col min="9" max="13" width="10.625" customWidth="1"/>
    <col min="14" max="14" width="2.625" customWidth="1"/>
    <col min="17" max="17" width="2.625" customWidth="1"/>
  </cols>
  <sheetData>
    <row r="2" spans="2:19" x14ac:dyDescent="0.3">
      <c r="B2" s="22" t="s">
        <v>62</v>
      </c>
      <c r="C2" s="25"/>
      <c r="D2" s="104"/>
      <c r="E2" s="105"/>
      <c r="F2" s="106"/>
    </row>
    <row r="3" spans="2:19" x14ac:dyDescent="0.3">
      <c r="B3" s="20" t="s">
        <v>63</v>
      </c>
      <c r="C3" s="26"/>
      <c r="D3" s="107">
        <v>44561</v>
      </c>
      <c r="E3" s="108"/>
      <c r="F3" s="109"/>
    </row>
    <row r="5" spans="2:19" x14ac:dyDescent="0.3">
      <c r="B5" s="110" t="s">
        <v>64</v>
      </c>
      <c r="C5" s="110"/>
      <c r="D5" s="110"/>
      <c r="E5" s="111"/>
      <c r="F5" s="111"/>
      <c r="G5" s="111"/>
      <c r="H5" s="111"/>
      <c r="I5" s="111"/>
      <c r="J5" s="111"/>
      <c r="K5" s="111"/>
      <c r="L5" s="111"/>
      <c r="M5" s="111"/>
    </row>
    <row r="6" spans="2:19" x14ac:dyDescent="0.3">
      <c r="B6" s="3" t="s">
        <v>0</v>
      </c>
      <c r="C6" s="3"/>
      <c r="D6" s="91" t="s">
        <v>66</v>
      </c>
      <c r="E6" s="91"/>
      <c r="F6" s="91"/>
      <c r="G6" s="91"/>
      <c r="H6" s="29"/>
      <c r="I6" s="91" t="s">
        <v>65</v>
      </c>
      <c r="J6" s="91"/>
      <c r="K6" s="91"/>
      <c r="L6" s="91"/>
      <c r="M6" s="91"/>
    </row>
    <row r="7" spans="2:19" x14ac:dyDescent="0.3">
      <c r="B7" s="5"/>
      <c r="C7" s="5"/>
      <c r="D7" s="7">
        <f>DATE(YEAR(E7)-1,MONTH(E7),DAY(E7))</f>
        <v>43465</v>
      </c>
      <c r="E7" s="7">
        <f>DATE(YEAR(F7)-1,MONTH(F7),DAY(F7))</f>
        <v>43830</v>
      </c>
      <c r="F7" s="7">
        <f>DATE(YEAR(G7)-1,MONTH(G7),DAY(G7))</f>
        <v>44196</v>
      </c>
      <c r="G7" s="7">
        <f>D3</f>
        <v>44561</v>
      </c>
      <c r="H7" s="28"/>
      <c r="I7" s="7">
        <f>DATE(YEAR(G7)+1,MONTH(G7),DAY(G7))</f>
        <v>44926</v>
      </c>
      <c r="J7" s="7">
        <f>DATE(YEAR(I7)+1,MONTH(I7),DAY(I7))</f>
        <v>45291</v>
      </c>
      <c r="K7" s="7">
        <f>DATE(YEAR(J7)+1,MONTH(J7),DAY(J7))</f>
        <v>45657</v>
      </c>
      <c r="L7" s="7">
        <f>DATE(YEAR(K7)+1,MONTH(K7),DAY(K7))</f>
        <v>46022</v>
      </c>
      <c r="M7" s="7">
        <f>DATE(YEAR(L7)+1,MONTH(L7),DAY(L7))</f>
        <v>46387</v>
      </c>
    </row>
    <row r="8" spans="2:19" x14ac:dyDescent="0.3">
      <c r="B8" s="1" t="s">
        <v>43</v>
      </c>
      <c r="C8" s="1"/>
      <c r="D8" s="112"/>
      <c r="E8" s="112"/>
      <c r="F8" s="112"/>
      <c r="G8" s="112"/>
      <c r="H8" s="29"/>
      <c r="I8" s="113"/>
      <c r="J8" s="113"/>
      <c r="K8" s="113"/>
      <c r="L8" s="113"/>
      <c r="M8" s="113"/>
      <c r="N8" s="60"/>
    </row>
    <row r="9" spans="2:19" x14ac:dyDescent="0.3">
      <c r="B9" s="1" t="s">
        <v>44</v>
      </c>
      <c r="C9" s="1"/>
      <c r="D9" s="112"/>
      <c r="E9" s="112"/>
      <c r="F9" s="112"/>
      <c r="G9" s="112"/>
      <c r="H9" s="29"/>
      <c r="I9" s="113"/>
      <c r="J9" s="113"/>
      <c r="K9" s="113"/>
      <c r="L9" s="113"/>
      <c r="M9" s="113"/>
      <c r="N9" s="63"/>
    </row>
    <row r="10" spans="2:19" s="2" customFormat="1" ht="13.5" x14ac:dyDescent="0.2">
      <c r="B10" s="2" t="s">
        <v>45</v>
      </c>
      <c r="D10" s="62">
        <f>D8+D9</f>
        <v>0</v>
      </c>
      <c r="E10" s="62">
        <f>E8+E9</f>
        <v>0</v>
      </c>
      <c r="F10" s="62">
        <f>F8+F9</f>
        <v>0</v>
      </c>
      <c r="G10" s="62">
        <f>G8+G9</f>
        <v>0</v>
      </c>
      <c r="H10" s="30"/>
      <c r="I10" s="62">
        <f>I8+I9</f>
        <v>0</v>
      </c>
      <c r="J10" s="62">
        <f>J8+J9</f>
        <v>0</v>
      </c>
      <c r="K10" s="62">
        <f>K8+K9</f>
        <v>0</v>
      </c>
      <c r="L10" s="62">
        <f>L8+L9</f>
        <v>0</v>
      </c>
      <c r="M10" s="62">
        <f>M8+M9</f>
        <v>0</v>
      </c>
    </row>
    <row r="11" spans="2:19" s="3" customFormat="1" ht="14.25" x14ac:dyDescent="0.25">
      <c r="B11" s="3" t="s">
        <v>46</v>
      </c>
      <c r="D11" s="8" t="e">
        <f>D10/D8</f>
        <v>#DIV/0!</v>
      </c>
      <c r="E11" s="8" t="e">
        <f>E10/E8</f>
        <v>#DIV/0!</v>
      </c>
      <c r="F11" s="8" t="e">
        <f>F10/F8</f>
        <v>#DIV/0!</v>
      </c>
      <c r="G11" s="8" t="e">
        <f>G10/G8</f>
        <v>#DIV/0!</v>
      </c>
      <c r="H11" s="31"/>
      <c r="I11" s="8" t="e">
        <f>I10/I8</f>
        <v>#DIV/0!</v>
      </c>
      <c r="J11" s="8" t="e">
        <f>J10/J8</f>
        <v>#DIV/0!</v>
      </c>
      <c r="K11" s="8" t="e">
        <f>K10/K8</f>
        <v>#DIV/0!</v>
      </c>
      <c r="L11" s="8" t="e">
        <f>L10/L8</f>
        <v>#DIV/0!</v>
      </c>
      <c r="M11" s="8" t="e">
        <f>M10/M8</f>
        <v>#DIV/0!</v>
      </c>
    </row>
    <row r="12" spans="2:19" s="3" customFormat="1" ht="14.25" x14ac:dyDescent="0.25">
      <c r="H12" s="31"/>
    </row>
    <row r="13" spans="2:19" x14ac:dyDescent="0.3">
      <c r="B13" t="s">
        <v>47</v>
      </c>
      <c r="D13" s="113"/>
      <c r="E13" s="113"/>
      <c r="F13" s="113"/>
      <c r="G13" s="113"/>
      <c r="H13" s="29"/>
      <c r="I13" s="113"/>
      <c r="J13" s="113"/>
      <c r="K13" s="113"/>
      <c r="L13" s="113"/>
      <c r="M13" s="113"/>
    </row>
    <row r="14" spans="2:19" x14ac:dyDescent="0.3">
      <c r="B14" s="114" t="s">
        <v>44</v>
      </c>
      <c r="C14" s="21"/>
      <c r="D14" s="113"/>
      <c r="E14" s="113"/>
      <c r="F14" s="113"/>
      <c r="G14" s="113"/>
      <c r="H14" s="29"/>
      <c r="I14" s="113"/>
      <c r="J14" s="113"/>
      <c r="K14" s="113"/>
      <c r="L14" s="113"/>
      <c r="M14" s="113"/>
      <c r="S14" s="60"/>
    </row>
    <row r="15" spans="2:19" x14ac:dyDescent="0.3">
      <c r="B15" s="114" t="s">
        <v>48</v>
      </c>
      <c r="C15" s="21"/>
      <c r="D15" s="113"/>
      <c r="E15" s="113"/>
      <c r="F15" s="113"/>
      <c r="G15" s="113"/>
      <c r="H15" s="29"/>
      <c r="I15" s="113"/>
      <c r="J15" s="113"/>
      <c r="K15" s="113"/>
      <c r="L15" s="113"/>
      <c r="M15" s="113"/>
    </row>
    <row r="16" spans="2:19" x14ac:dyDescent="0.3">
      <c r="B16" s="114" t="s">
        <v>49</v>
      </c>
      <c r="C16" s="21"/>
      <c r="D16" s="113"/>
      <c r="E16" s="113"/>
      <c r="F16" s="113"/>
      <c r="G16" s="113"/>
      <c r="H16" s="29"/>
      <c r="I16" s="113"/>
      <c r="J16" s="113"/>
      <c r="K16" s="113"/>
      <c r="L16" s="113"/>
      <c r="M16" s="113"/>
    </row>
    <row r="17" spans="2:22" x14ac:dyDescent="0.3">
      <c r="B17" s="114" t="s">
        <v>50</v>
      </c>
      <c r="C17" s="21"/>
      <c r="D17" s="113"/>
      <c r="E17" s="113"/>
      <c r="F17" s="113"/>
      <c r="G17" s="113"/>
      <c r="H17" s="29"/>
      <c r="I17" s="113"/>
      <c r="J17" s="113"/>
      <c r="K17" s="113"/>
      <c r="L17" s="113"/>
      <c r="M17" s="113"/>
    </row>
    <row r="18" spans="2:22" x14ac:dyDescent="0.3">
      <c r="B18" s="114" t="s">
        <v>51</v>
      </c>
      <c r="C18" s="21"/>
      <c r="D18" s="113"/>
      <c r="E18" s="113"/>
      <c r="F18" s="113"/>
      <c r="G18" s="113"/>
      <c r="H18" s="29"/>
      <c r="I18" s="113"/>
      <c r="J18" s="113"/>
      <c r="K18" s="113"/>
      <c r="L18" s="113"/>
      <c r="M18" s="113"/>
    </row>
    <row r="19" spans="2:22" x14ac:dyDescent="0.3">
      <c r="B19" s="114" t="s">
        <v>52</v>
      </c>
      <c r="C19" s="21"/>
      <c r="D19" s="113"/>
      <c r="E19" s="113"/>
      <c r="F19" s="113"/>
      <c r="G19" s="113"/>
      <c r="H19" s="29"/>
      <c r="I19" s="113"/>
      <c r="J19" s="113"/>
      <c r="K19" s="113"/>
      <c r="L19" s="113"/>
      <c r="M19" s="113"/>
    </row>
    <row r="20" spans="2:22" x14ac:dyDescent="0.3">
      <c r="B20" s="114" t="s">
        <v>53</v>
      </c>
      <c r="C20" s="21"/>
      <c r="D20" s="113"/>
      <c r="E20" s="113"/>
      <c r="F20" s="113"/>
      <c r="G20" s="113"/>
      <c r="H20" s="29"/>
      <c r="I20" s="113"/>
      <c r="J20" s="113"/>
      <c r="K20" s="113"/>
      <c r="L20" s="113"/>
      <c r="M20" s="113"/>
    </row>
    <row r="21" spans="2:22" x14ac:dyDescent="0.3">
      <c r="B21" s="114" t="s">
        <v>54</v>
      </c>
      <c r="C21" s="21"/>
      <c r="D21" s="113"/>
      <c r="E21" s="113"/>
      <c r="F21" s="113"/>
      <c r="G21" s="113"/>
      <c r="H21" s="29"/>
      <c r="I21" s="113"/>
      <c r="J21" s="113"/>
      <c r="K21" s="113"/>
      <c r="L21" s="113"/>
      <c r="M21" s="113"/>
    </row>
    <row r="22" spans="2:22" s="2" customFormat="1" ht="13.5" x14ac:dyDescent="0.2">
      <c r="B22" s="4" t="s">
        <v>1</v>
      </c>
      <c r="C22" s="4"/>
      <c r="D22" s="62">
        <f>D10+SUM(D13:D21)</f>
        <v>0</v>
      </c>
      <c r="E22" s="62">
        <f>E10+SUM(E13:E21)</f>
        <v>0</v>
      </c>
      <c r="F22" s="62">
        <f>F10+SUM(F13:F21)</f>
        <v>0</v>
      </c>
      <c r="G22" s="62">
        <f>G10+SUM(G13:G21)</f>
        <v>0</v>
      </c>
      <c r="H22" s="30"/>
      <c r="I22" s="62">
        <f>I10+SUM(I13:I21)</f>
        <v>0</v>
      </c>
      <c r="J22" s="62">
        <f>J10+SUM(J13:J21)</f>
        <v>0</v>
      </c>
      <c r="K22" s="62">
        <f>K10+SUM(K13:K21)</f>
        <v>0</v>
      </c>
      <c r="L22" s="62">
        <f>L10+SUM(L13:L21)</f>
        <v>0</v>
      </c>
      <c r="M22" s="62">
        <f>M10+SUM(M13:M21)</f>
        <v>0</v>
      </c>
    </row>
    <row r="23" spans="2:22" s="3" customFormat="1" ht="14.25" x14ac:dyDescent="0.25">
      <c r="B23" s="5" t="s">
        <v>46</v>
      </c>
      <c r="C23" s="5"/>
      <c r="D23" s="17" t="e">
        <f>D22/D8</f>
        <v>#DIV/0!</v>
      </c>
      <c r="E23" s="17" t="e">
        <f>E22/E8</f>
        <v>#DIV/0!</v>
      </c>
      <c r="F23" s="17" t="e">
        <f>F22/F8</f>
        <v>#DIV/0!</v>
      </c>
      <c r="G23" s="17" t="e">
        <f>G22/G8</f>
        <v>#DIV/0!</v>
      </c>
      <c r="H23" s="32"/>
      <c r="I23" s="17" t="e">
        <f>I22/I8</f>
        <v>#DIV/0!</v>
      </c>
      <c r="J23" s="17" t="e">
        <f>J22/J8</f>
        <v>#DIV/0!</v>
      </c>
      <c r="K23" s="17" t="e">
        <f>K22/K8</f>
        <v>#DIV/0!</v>
      </c>
      <c r="L23" s="17" t="e">
        <f>L22/L8</f>
        <v>#DIV/0!</v>
      </c>
      <c r="M23" s="17" t="e">
        <f>M22/M8</f>
        <v>#DIV/0!</v>
      </c>
    </row>
    <row r="24" spans="2:22" s="3" customFormat="1" ht="14.25" x14ac:dyDescent="0.25">
      <c r="H24" s="31"/>
    </row>
    <row r="25" spans="2:22" x14ac:dyDescent="0.3">
      <c r="B25" t="s">
        <v>55</v>
      </c>
      <c r="D25" s="113"/>
      <c r="E25" s="113"/>
      <c r="F25" s="113"/>
      <c r="G25" s="113"/>
      <c r="H25" s="29"/>
      <c r="I25" s="113"/>
      <c r="J25" s="113"/>
      <c r="K25" s="113"/>
      <c r="L25" s="113"/>
      <c r="M25" s="113"/>
    </row>
    <row r="26" spans="2:22" s="2" customFormat="1" ht="13.5" x14ac:dyDescent="0.2">
      <c r="B26" s="2" t="s">
        <v>2</v>
      </c>
      <c r="D26" s="62">
        <f>D22+D25</f>
        <v>0</v>
      </c>
      <c r="E26" s="62">
        <f>E22+E25</f>
        <v>0</v>
      </c>
      <c r="F26" s="62">
        <f>F22+F25</f>
        <v>0</v>
      </c>
      <c r="G26" s="62">
        <f>G22+G25</f>
        <v>0</v>
      </c>
      <c r="H26" s="30"/>
      <c r="I26" s="62">
        <f>I22+I25</f>
        <v>0</v>
      </c>
      <c r="J26" s="62">
        <f>J22+J25</f>
        <v>0</v>
      </c>
      <c r="K26" s="62">
        <f>K22+K25</f>
        <v>0</v>
      </c>
      <c r="L26" s="62">
        <f>L22+L25</f>
        <v>0</v>
      </c>
      <c r="M26" s="62">
        <f>M22+M25</f>
        <v>0</v>
      </c>
    </row>
    <row r="27" spans="2:22" s="3" customFormat="1" ht="14.25" x14ac:dyDescent="0.25">
      <c r="B27" s="3" t="s">
        <v>46</v>
      </c>
      <c r="D27" s="8" t="e">
        <f>D26/D8</f>
        <v>#DIV/0!</v>
      </c>
      <c r="E27" s="8" t="e">
        <f>E26/E8</f>
        <v>#DIV/0!</v>
      </c>
      <c r="F27" s="8" t="e">
        <f>F26/F8</f>
        <v>#DIV/0!</v>
      </c>
      <c r="G27" s="8" t="e">
        <f>G26/G8</f>
        <v>#DIV/0!</v>
      </c>
      <c r="H27" s="31"/>
      <c r="I27" s="8" t="e">
        <f>I26/I8</f>
        <v>#DIV/0!</v>
      </c>
      <c r="J27" s="8" t="e">
        <f>J26/J8</f>
        <v>#DIV/0!</v>
      </c>
      <c r="K27" s="8" t="e">
        <f>K26/K8</f>
        <v>#DIV/0!</v>
      </c>
      <c r="L27" s="8" t="e">
        <f>L26/L8</f>
        <v>#DIV/0!</v>
      </c>
      <c r="M27" s="8" t="e">
        <f>M26/M8</f>
        <v>#DIV/0!</v>
      </c>
    </row>
    <row r="28" spans="2:22" s="3" customFormat="1" ht="14.25" x14ac:dyDescent="0.25">
      <c r="D28" s="24"/>
      <c r="H28" s="31"/>
      <c r="J28" s="24"/>
      <c r="V28" s="61"/>
    </row>
    <row r="29" spans="2:22" x14ac:dyDescent="0.3">
      <c r="B29" t="s">
        <v>61</v>
      </c>
      <c r="D29" s="113"/>
      <c r="E29" s="113"/>
      <c r="F29" s="113"/>
      <c r="G29" s="113"/>
      <c r="H29" s="29"/>
      <c r="I29" s="113"/>
      <c r="J29" s="113"/>
      <c r="K29" s="113"/>
      <c r="L29" s="113"/>
      <c r="M29" s="113"/>
    </row>
    <row r="30" spans="2:22" x14ac:dyDescent="0.3">
      <c r="B30" t="s">
        <v>60</v>
      </c>
      <c r="D30" s="113"/>
      <c r="E30" s="113"/>
      <c r="F30" s="113"/>
      <c r="G30" s="113"/>
      <c r="H30" s="29"/>
      <c r="I30" s="113"/>
      <c r="J30" s="113"/>
      <c r="K30" s="113"/>
      <c r="L30" s="113"/>
      <c r="M30" s="113"/>
    </row>
    <row r="31" spans="2:22" x14ac:dyDescent="0.3">
      <c r="B31" t="s">
        <v>59</v>
      </c>
      <c r="D31" s="113"/>
      <c r="E31" s="113"/>
      <c r="F31" s="113"/>
      <c r="G31" s="113"/>
      <c r="H31" s="29"/>
      <c r="I31" s="113"/>
      <c r="J31" s="113"/>
      <c r="K31" s="113"/>
      <c r="L31" s="113"/>
      <c r="M31" s="113"/>
    </row>
    <row r="32" spans="2:22" x14ac:dyDescent="0.3">
      <c r="B32" t="s">
        <v>58</v>
      </c>
      <c r="D32" s="113"/>
      <c r="E32" s="113"/>
      <c r="F32" s="113"/>
      <c r="G32" s="113"/>
      <c r="H32" s="29"/>
      <c r="I32" s="113"/>
      <c r="J32" s="113"/>
      <c r="K32" s="113"/>
      <c r="L32" s="113"/>
      <c r="M32" s="113"/>
    </row>
    <row r="33" spans="2:13" s="3" customFormat="1" ht="14.25" x14ac:dyDescent="0.25">
      <c r="B33" s="3" t="s">
        <v>57</v>
      </c>
      <c r="D33" s="8" t="e">
        <f>-D32/D26</f>
        <v>#DIV/0!</v>
      </c>
      <c r="E33" s="8" t="e">
        <f>-E32/E26</f>
        <v>#DIV/0!</v>
      </c>
      <c r="F33" s="8" t="e">
        <f>-F32/F26</f>
        <v>#DIV/0!</v>
      </c>
      <c r="G33" s="8" t="e">
        <f>-G32/G26</f>
        <v>#DIV/0!</v>
      </c>
      <c r="H33" s="31"/>
      <c r="I33" s="8" t="e">
        <f>-I32/I26</f>
        <v>#DIV/0!</v>
      </c>
      <c r="J33" s="8" t="e">
        <f>-J32/J26</f>
        <v>#DIV/0!</v>
      </c>
      <c r="K33" s="8" t="e">
        <f>-K32/K26</f>
        <v>#DIV/0!</v>
      </c>
      <c r="L33" s="8" t="e">
        <f>-L32/L26</f>
        <v>#DIV/0!</v>
      </c>
      <c r="M33" s="8" t="e">
        <f>-M32/M26</f>
        <v>#DIV/0!</v>
      </c>
    </row>
    <row r="34" spans="2:13" s="2" customFormat="1" ht="13.5" x14ac:dyDescent="0.2">
      <c r="B34" s="2" t="s">
        <v>56</v>
      </c>
      <c r="D34" s="62">
        <f>D26+SUM(D29:D32)</f>
        <v>0</v>
      </c>
      <c r="E34" s="62">
        <f>E26+SUM(E29:E32)</f>
        <v>0</v>
      </c>
      <c r="F34" s="62">
        <f>F26+SUM(F29:F32)</f>
        <v>0</v>
      </c>
      <c r="G34" s="62">
        <f>G26+SUM(G29:G32)</f>
        <v>0</v>
      </c>
      <c r="H34" s="30"/>
      <c r="I34" s="62">
        <f>I26+SUM(I29:I32)</f>
        <v>0</v>
      </c>
      <c r="J34" s="62">
        <f>J26+SUM(J29:J32)</f>
        <v>0</v>
      </c>
      <c r="K34" s="62">
        <f>K26+SUM(K29:K32)</f>
        <v>0</v>
      </c>
      <c r="L34" s="62">
        <f>L26+SUM(L29:L32)</f>
        <v>0</v>
      </c>
      <c r="M34" s="62">
        <f>M26+SUM(M29:M32)</f>
        <v>0</v>
      </c>
    </row>
    <row r="35" spans="2:13" s="3" customFormat="1" ht="14.25" x14ac:dyDescent="0.25">
      <c r="B35" s="5" t="s">
        <v>46</v>
      </c>
      <c r="C35" s="5"/>
      <c r="D35" s="17" t="e">
        <f>D34/D8</f>
        <v>#DIV/0!</v>
      </c>
      <c r="E35" s="17" t="e">
        <f>E34/E8</f>
        <v>#DIV/0!</v>
      </c>
      <c r="F35" s="17" t="e">
        <f>F34/F8</f>
        <v>#DIV/0!</v>
      </c>
      <c r="G35" s="17" t="e">
        <f>G34/G8</f>
        <v>#DIV/0!</v>
      </c>
      <c r="H35" s="32"/>
      <c r="I35" s="17" t="e">
        <f>I34/I8</f>
        <v>#DIV/0!</v>
      </c>
      <c r="J35" s="17" t="e">
        <f>J34/J8</f>
        <v>#DIV/0!</v>
      </c>
      <c r="K35" s="17" t="e">
        <f>K34/K8</f>
        <v>#DIV/0!</v>
      </c>
      <c r="L35" s="17" t="e">
        <f>L34/L8</f>
        <v>#DIV/0!</v>
      </c>
      <c r="M35" s="17" t="e">
        <f>M34/M8</f>
        <v>#DIV/0!</v>
      </c>
    </row>
  </sheetData>
  <mergeCells count="4">
    <mergeCell ref="D6:G6"/>
    <mergeCell ref="I6:M6"/>
    <mergeCell ref="D2:F2"/>
    <mergeCell ref="D3:F3"/>
  </mergeCells>
  <pageMargins left="0.70866141732283472" right="0.70866141732283472" top="0.74803149606299213" bottom="0.74803149606299213" header="0.31496062992125984" footer="0.31496062992125984"/>
  <pageSetup paperSize="9" scale="85" orientation="landscape" verticalDpi="597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L53"/>
  <sheetViews>
    <sheetView showGridLines="0" topLeftCell="A7" zoomScale="80" zoomScaleNormal="80" workbookViewId="0">
      <selection activeCell="T46" sqref="T46"/>
    </sheetView>
  </sheetViews>
  <sheetFormatPr defaultColWidth="8.75" defaultRowHeight="15.75" outlineLevelRow="1" x14ac:dyDescent="0.3"/>
  <cols>
    <col min="1" max="1" width="4.625" customWidth="1"/>
    <col min="2" max="2" width="34.875" bestFit="1" customWidth="1"/>
    <col min="3" max="6" width="10.625" customWidth="1"/>
    <col min="7" max="7" width="0.875" customWidth="1"/>
    <col min="8" max="12" width="10.625" customWidth="1"/>
  </cols>
  <sheetData>
    <row r="2" spans="2:12" x14ac:dyDescent="0.3">
      <c r="B2" s="22" t="s">
        <v>62</v>
      </c>
      <c r="C2" s="94">
        <f>'A. Comptes de résultats'!D2</f>
        <v>0</v>
      </c>
      <c r="D2" s="94"/>
      <c r="E2" s="95"/>
    </row>
    <row r="3" spans="2:12" x14ac:dyDescent="0.3">
      <c r="B3" s="20" t="s">
        <v>63</v>
      </c>
      <c r="C3" s="92">
        <f>'A. Comptes de résultats'!D3</f>
        <v>44561</v>
      </c>
      <c r="D3" s="92"/>
      <c r="E3" s="93"/>
    </row>
    <row r="5" spans="2:12" x14ac:dyDescent="0.3">
      <c r="B5" s="110" t="s">
        <v>67</v>
      </c>
      <c r="C5" s="110"/>
      <c r="D5" s="111"/>
      <c r="E5" s="111"/>
      <c r="F5" s="111"/>
      <c r="G5" s="111"/>
      <c r="H5" s="111"/>
      <c r="I5" s="111"/>
      <c r="J5" s="111"/>
      <c r="K5" s="111"/>
      <c r="L5" s="111"/>
    </row>
    <row r="6" spans="2:12" x14ac:dyDescent="0.3">
      <c r="B6" s="3" t="s">
        <v>0</v>
      </c>
      <c r="C6" s="91" t="s">
        <v>66</v>
      </c>
      <c r="D6" s="91"/>
      <c r="E6" s="91"/>
      <c r="F6" s="91"/>
      <c r="G6" s="29"/>
      <c r="H6" s="91" t="s">
        <v>65</v>
      </c>
      <c r="I6" s="91"/>
      <c r="J6" s="91"/>
      <c r="K6" s="91"/>
      <c r="L6" s="91"/>
    </row>
    <row r="7" spans="2:12" x14ac:dyDescent="0.3">
      <c r="B7" s="5"/>
      <c r="C7" s="16">
        <f>'A. Comptes de résultats'!D7</f>
        <v>43465</v>
      </c>
      <c r="D7" s="16">
        <f>'A. Comptes de résultats'!E7</f>
        <v>43830</v>
      </c>
      <c r="E7" s="7">
        <f>'A. Comptes de résultats'!F7</f>
        <v>44196</v>
      </c>
      <c r="F7" s="7">
        <f>'A. Comptes de résultats'!G7</f>
        <v>44561</v>
      </c>
      <c r="G7" s="29"/>
      <c r="H7" s="41">
        <f>'A. Comptes de résultats'!I7</f>
        <v>44926</v>
      </c>
      <c r="I7" s="7">
        <f>'A. Comptes de résultats'!J7</f>
        <v>45291</v>
      </c>
      <c r="J7" s="7">
        <f>'A. Comptes de résultats'!K7</f>
        <v>45657</v>
      </c>
      <c r="K7" s="7">
        <f>'A. Comptes de résultats'!L7</f>
        <v>46022</v>
      </c>
      <c r="L7" s="7">
        <f>'A. Comptes de résultats'!M7</f>
        <v>46387</v>
      </c>
    </row>
    <row r="8" spans="2:12" x14ac:dyDescent="0.3">
      <c r="B8" t="s">
        <v>68</v>
      </c>
      <c r="C8" s="113"/>
      <c r="D8" s="113"/>
      <c r="E8" s="113"/>
      <c r="F8" s="113"/>
      <c r="G8" s="29"/>
      <c r="H8" s="71">
        <v>0</v>
      </c>
      <c r="I8" s="71">
        <v>0</v>
      </c>
      <c r="J8" s="71">
        <v>0</v>
      </c>
      <c r="K8" s="71">
        <v>0</v>
      </c>
      <c r="L8" s="71">
        <v>0</v>
      </c>
    </row>
    <row r="9" spans="2:12" s="50" customFormat="1" ht="12" hidden="1" outlineLevel="1" x14ac:dyDescent="0.2">
      <c r="B9" s="50" t="s">
        <v>11</v>
      </c>
      <c r="C9" s="115"/>
      <c r="D9" s="115"/>
      <c r="E9" s="115"/>
      <c r="F9" s="115"/>
      <c r="G9" s="51"/>
      <c r="H9" s="72">
        <f>'[1]C. Bilanzplanung'!$I$33</f>
        <v>0</v>
      </c>
      <c r="I9" s="72">
        <f>'[1]C. Bilanzplanung'!$I$33</f>
        <v>0</v>
      </c>
      <c r="J9" s="72">
        <f>'[1]C. Bilanzplanung'!$I$33</f>
        <v>0</v>
      </c>
      <c r="K9" s="72">
        <f>'[1]C. Bilanzplanung'!$I$33</f>
        <v>0</v>
      </c>
      <c r="L9" s="72">
        <f>'[1]C. Bilanzplanung'!$I$33</f>
        <v>0</v>
      </c>
    </row>
    <row r="10" spans="2:12" s="50" customFormat="1" hidden="1" outlineLevel="1" x14ac:dyDescent="0.3">
      <c r="B10" s="50" t="s">
        <v>15</v>
      </c>
      <c r="C10" s="115"/>
      <c r="D10" s="115"/>
      <c r="E10" s="115"/>
      <c r="F10" s="115"/>
      <c r="G10" s="51"/>
      <c r="H10" s="71">
        <f>'[1]C. Bilanzplanung'!I45</f>
        <v>0</v>
      </c>
      <c r="I10" s="71">
        <f>'[1]C. Bilanzplanung'!J45</f>
        <v>0</v>
      </c>
      <c r="J10" s="71">
        <f>'[1]C. Bilanzplanung'!K45</f>
        <v>0</v>
      </c>
      <c r="K10" s="71">
        <f>'[1]C. Bilanzplanung'!L45</f>
        <v>0</v>
      </c>
      <c r="L10" s="71">
        <f>'[1]C. Bilanzplanung'!M45</f>
        <v>0</v>
      </c>
    </row>
    <row r="11" spans="2:12" collapsed="1" x14ac:dyDescent="0.3">
      <c r="B11" t="s">
        <v>69</v>
      </c>
      <c r="C11" s="113"/>
      <c r="D11" s="113"/>
      <c r="E11" s="113"/>
      <c r="F11" s="113"/>
      <c r="G11" s="29"/>
      <c r="H11" s="71">
        <f>'[1]C. Bilanzplanung'!$I$30*'[1]A. Erfolgsrechnung'!I8/360</f>
        <v>0</v>
      </c>
      <c r="I11" s="71">
        <f>'[1]C. Bilanzplanung'!$I$30*'[1]A. Erfolgsrechnung'!J8/360</f>
        <v>0</v>
      </c>
      <c r="J11" s="71">
        <f>'[1]C. Bilanzplanung'!$I$30*'[1]A. Erfolgsrechnung'!K8/360</f>
        <v>0</v>
      </c>
      <c r="K11" s="71">
        <f>'[1]C. Bilanzplanung'!$I$30*'[1]A. Erfolgsrechnung'!L8/360</f>
        <v>0</v>
      </c>
      <c r="L11" s="71">
        <f>'[1]C. Bilanzplanung'!$I$30*'[1]A. Erfolgsrechnung'!M8/360</f>
        <v>0</v>
      </c>
    </row>
    <row r="12" spans="2:12" x14ac:dyDescent="0.3">
      <c r="B12" t="s">
        <v>124</v>
      </c>
      <c r="C12" s="113"/>
      <c r="D12" s="113"/>
      <c r="E12" s="113"/>
      <c r="F12" s="113"/>
      <c r="G12" s="29"/>
      <c r="H12" s="113"/>
      <c r="I12" s="113"/>
      <c r="J12" s="113"/>
      <c r="K12" s="113"/>
      <c r="L12" s="113"/>
    </row>
    <row r="13" spans="2:12" x14ac:dyDescent="0.3">
      <c r="B13" t="s">
        <v>133</v>
      </c>
      <c r="C13" s="113"/>
      <c r="D13" s="113"/>
      <c r="E13" s="113"/>
      <c r="F13" s="113"/>
      <c r="G13" s="29"/>
      <c r="H13" s="63">
        <f>'[1]C. Bilanzplanung'!$I$31*-'[1]A. Erfolgsrechnung'!I9/360</f>
        <v>0</v>
      </c>
      <c r="I13" s="63">
        <f>'[1]C. Bilanzplanung'!$I$31*-'[1]A. Erfolgsrechnung'!J9/360</f>
        <v>0</v>
      </c>
      <c r="J13" s="63">
        <f>'[1]C. Bilanzplanung'!$I$31*-'[1]A. Erfolgsrechnung'!K9/360</f>
        <v>0</v>
      </c>
      <c r="K13" s="63">
        <f>'[1]C. Bilanzplanung'!$I$31*-'[1]A. Erfolgsrechnung'!L9/360</f>
        <v>0</v>
      </c>
      <c r="L13" s="63">
        <f>'[1]C. Bilanzplanung'!$I$31*-'[1]A. Erfolgsrechnung'!M9/360</f>
        <v>0</v>
      </c>
    </row>
    <row r="14" spans="2:12" x14ac:dyDescent="0.3">
      <c r="B14" t="s">
        <v>70</v>
      </c>
      <c r="C14" s="113"/>
      <c r="D14" s="113"/>
      <c r="E14" s="113"/>
      <c r="F14" s="113"/>
      <c r="G14" s="29"/>
      <c r="H14" s="113"/>
      <c r="I14" s="113"/>
      <c r="J14" s="113"/>
      <c r="K14" s="113"/>
      <c r="L14" s="113"/>
    </row>
    <row r="15" spans="2:12" x14ac:dyDescent="0.3">
      <c r="B15" t="s">
        <v>71</v>
      </c>
      <c r="C15" s="113"/>
      <c r="D15" s="113"/>
      <c r="E15" s="113"/>
      <c r="F15" s="113"/>
      <c r="G15" s="29"/>
      <c r="H15" s="113"/>
      <c r="I15" s="113"/>
      <c r="J15" s="113"/>
      <c r="K15" s="113"/>
      <c r="L15" s="113"/>
    </row>
    <row r="16" spans="2:12" x14ac:dyDescent="0.3">
      <c r="B16" t="s">
        <v>72</v>
      </c>
      <c r="C16" s="113"/>
      <c r="D16" s="113"/>
      <c r="E16" s="113"/>
      <c r="F16" s="113"/>
      <c r="G16" s="29"/>
      <c r="H16" s="113"/>
      <c r="I16" s="113"/>
      <c r="J16" s="113"/>
      <c r="K16" s="113"/>
      <c r="L16" s="113"/>
    </row>
    <row r="17" spans="2:12" x14ac:dyDescent="0.3">
      <c r="B17" t="s">
        <v>73</v>
      </c>
      <c r="C17" s="113"/>
      <c r="D17" s="113"/>
      <c r="E17" s="113"/>
      <c r="F17" s="113"/>
      <c r="G17" s="29"/>
      <c r="H17" s="113"/>
      <c r="I17" s="113"/>
      <c r="J17" s="113"/>
      <c r="K17" s="113"/>
      <c r="L17" s="113"/>
    </row>
    <row r="18" spans="2:12" s="2" customFormat="1" ht="13.5" x14ac:dyDescent="0.2">
      <c r="B18" s="2" t="s">
        <v>77</v>
      </c>
      <c r="C18" s="62">
        <f>SUM(C11,C13:C17)+C12+C8</f>
        <v>0</v>
      </c>
      <c r="D18" s="62">
        <f t="shared" ref="D18:F18" si="0">SUM(D11,D13:D17)+D12+D8</f>
        <v>0</v>
      </c>
      <c r="E18" s="62">
        <f t="shared" si="0"/>
        <v>0</v>
      </c>
      <c r="F18" s="62">
        <f t="shared" si="0"/>
        <v>0</v>
      </c>
      <c r="G18" s="30"/>
      <c r="H18" s="73">
        <f>SUM(H11,H13:H17)+H12+H8</f>
        <v>0</v>
      </c>
      <c r="I18" s="73">
        <f t="shared" ref="I18:L18" si="1">SUM(I11,I13:I17)+I12+I8</f>
        <v>0</v>
      </c>
      <c r="J18" s="73">
        <f t="shared" si="1"/>
        <v>0</v>
      </c>
      <c r="K18" s="73">
        <f t="shared" si="1"/>
        <v>0</v>
      </c>
      <c r="L18" s="73">
        <f t="shared" si="1"/>
        <v>0</v>
      </c>
    </row>
    <row r="19" spans="2:12" x14ac:dyDescent="0.3">
      <c r="G19" s="29"/>
    </row>
    <row r="20" spans="2:12" x14ac:dyDescent="0.3">
      <c r="C20" s="113"/>
      <c r="D20" s="113"/>
      <c r="E20" s="113"/>
      <c r="F20" s="113"/>
      <c r="G20" s="29"/>
      <c r="H20" s="21"/>
      <c r="I20" s="21"/>
      <c r="J20" s="21"/>
      <c r="K20" s="21"/>
      <c r="L20" s="21"/>
    </row>
    <row r="21" spans="2:12" x14ac:dyDescent="0.3">
      <c r="B21" t="s">
        <v>74</v>
      </c>
      <c r="C21" s="113"/>
      <c r="D21" s="113"/>
      <c r="E21" s="113"/>
      <c r="F21" s="113"/>
      <c r="G21" s="29"/>
      <c r="H21" s="21"/>
      <c r="I21" s="21"/>
      <c r="J21" s="21"/>
      <c r="K21" s="21"/>
      <c r="L21" s="21"/>
    </row>
    <row r="22" spans="2:12" x14ac:dyDescent="0.3">
      <c r="B22" t="s">
        <v>108</v>
      </c>
      <c r="C22" s="113"/>
      <c r="D22" s="113"/>
      <c r="E22" s="113"/>
      <c r="F22" s="113"/>
      <c r="G22" s="29"/>
      <c r="H22" s="21"/>
      <c r="I22" s="21"/>
      <c r="J22" s="21"/>
      <c r="K22" s="21"/>
      <c r="L22" s="21"/>
    </row>
    <row r="23" spans="2:12" x14ac:dyDescent="0.3">
      <c r="B23" t="s">
        <v>75</v>
      </c>
      <c r="C23" s="113"/>
      <c r="D23" s="113"/>
      <c r="E23" s="113"/>
      <c r="F23" s="113"/>
      <c r="G23" s="29"/>
      <c r="H23" s="21"/>
      <c r="I23" s="21"/>
      <c r="J23" s="21"/>
      <c r="K23" s="21"/>
      <c r="L23" s="21"/>
    </row>
    <row r="24" spans="2:12" s="2" customFormat="1" ht="13.5" x14ac:dyDescent="0.2">
      <c r="B24" s="9" t="s">
        <v>76</v>
      </c>
      <c r="C24" s="67">
        <f>SUM(C20:C23)</f>
        <v>0</v>
      </c>
      <c r="D24" s="67">
        <f>SUM(D20:D23)</f>
        <v>0</v>
      </c>
      <c r="E24" s="67">
        <f>SUM(E20:E23)</f>
        <v>0</v>
      </c>
      <c r="F24" s="67">
        <f>SUM(F20:F23)</f>
        <v>0</v>
      </c>
      <c r="G24" s="30"/>
      <c r="H24" s="74">
        <v>0</v>
      </c>
      <c r="I24" s="67">
        <v>0</v>
      </c>
      <c r="J24" s="67">
        <v>0</v>
      </c>
      <c r="K24" s="67">
        <v>0</v>
      </c>
      <c r="L24" s="67">
        <v>0</v>
      </c>
    </row>
    <row r="25" spans="2:12" s="2" customFormat="1" ht="13.5" x14ac:dyDescent="0.2">
      <c r="B25" s="2" t="s">
        <v>78</v>
      </c>
      <c r="C25" s="62">
        <f>SUM(C18,C24)</f>
        <v>0</v>
      </c>
      <c r="D25" s="62">
        <f>SUM(D18,D24)</f>
        <v>0</v>
      </c>
      <c r="E25" s="62">
        <f>SUM(E18,E24)</f>
        <v>0</v>
      </c>
      <c r="F25" s="62">
        <f>SUM(F18,F24)</f>
        <v>0</v>
      </c>
      <c r="G25" s="30"/>
      <c r="H25" s="62">
        <f>H18+H24</f>
        <v>0</v>
      </c>
      <c r="I25" s="62">
        <f t="shared" ref="I25:L25" si="2">I18+I24</f>
        <v>0</v>
      </c>
      <c r="J25" s="62">
        <f t="shared" si="2"/>
        <v>0</v>
      </c>
      <c r="K25" s="62">
        <f t="shared" si="2"/>
        <v>0</v>
      </c>
      <c r="L25" s="62">
        <f t="shared" si="2"/>
        <v>0</v>
      </c>
    </row>
    <row r="26" spans="2:12" x14ac:dyDescent="0.3">
      <c r="G26" s="29"/>
    </row>
    <row r="27" spans="2:12" x14ac:dyDescent="0.3">
      <c r="B27" t="s">
        <v>79</v>
      </c>
      <c r="C27" s="113"/>
      <c r="D27" s="113"/>
      <c r="E27" s="113"/>
      <c r="F27" s="113"/>
      <c r="G27" s="29"/>
      <c r="H27" s="60">
        <f>'[1]C. Bilanzplanung'!$I$32*-'[1]A. Erfolgsrechnung'!I9/360</f>
        <v>0</v>
      </c>
      <c r="I27" s="60">
        <f>'[1]C. Bilanzplanung'!$I$32*-'[1]A. Erfolgsrechnung'!J9/360</f>
        <v>0</v>
      </c>
      <c r="J27" s="60">
        <f>'[1]C. Bilanzplanung'!$I$32*-'[1]A. Erfolgsrechnung'!K9/360</f>
        <v>0</v>
      </c>
      <c r="K27" s="60">
        <f>'[1]C. Bilanzplanung'!$I$32*-'[1]A. Erfolgsrechnung'!L9/360</f>
        <v>0</v>
      </c>
      <c r="L27" s="60">
        <f>'[1]C. Bilanzplanung'!$I$32*-'[1]A. Erfolgsrechnung'!M9/360</f>
        <v>0</v>
      </c>
    </row>
    <row r="28" spans="2:12" x14ac:dyDescent="0.3">
      <c r="B28" t="s">
        <v>80</v>
      </c>
      <c r="C28" s="113"/>
      <c r="D28" s="113"/>
      <c r="E28" s="113"/>
      <c r="F28" s="113"/>
      <c r="G28" s="29"/>
      <c r="H28" s="113"/>
      <c r="I28" s="113"/>
      <c r="J28" s="113"/>
      <c r="K28" s="113"/>
      <c r="L28" s="113"/>
    </row>
    <row r="29" spans="2:12" x14ac:dyDescent="0.3">
      <c r="B29" t="s">
        <v>81</v>
      </c>
      <c r="C29" s="113"/>
      <c r="D29" s="113"/>
      <c r="E29" s="113"/>
      <c r="F29" s="113"/>
      <c r="G29" s="29"/>
      <c r="H29" s="113"/>
      <c r="I29" s="113"/>
      <c r="J29" s="113"/>
      <c r="K29" s="113"/>
      <c r="L29" s="113"/>
    </row>
    <row r="30" spans="2:12" x14ac:dyDescent="0.3">
      <c r="B30" t="s">
        <v>83</v>
      </c>
      <c r="C30" s="113"/>
      <c r="D30" s="113"/>
      <c r="E30" s="113"/>
      <c r="F30" s="113"/>
      <c r="G30" s="29"/>
      <c r="H30" s="113"/>
      <c r="I30" s="113"/>
      <c r="J30" s="113"/>
      <c r="K30" s="113"/>
      <c r="L30" s="113"/>
    </row>
    <row r="31" spans="2:12" x14ac:dyDescent="0.3">
      <c r="B31" t="s">
        <v>84</v>
      </c>
      <c r="C31" s="113"/>
      <c r="D31" s="113"/>
      <c r="E31" s="113"/>
      <c r="F31" s="113"/>
      <c r="G31" s="29"/>
      <c r="H31" s="113"/>
      <c r="I31" s="113"/>
      <c r="J31" s="113"/>
      <c r="K31" s="113"/>
      <c r="L31" s="113"/>
    </row>
    <row r="32" spans="2:12" s="2" customFormat="1" ht="13.5" x14ac:dyDescent="0.2">
      <c r="B32" s="2" t="s">
        <v>82</v>
      </c>
      <c r="C32" s="62">
        <f>SUM(C27:C31)</f>
        <v>0</v>
      </c>
      <c r="D32" s="62">
        <f>SUM(D27:D31)</f>
        <v>0</v>
      </c>
      <c r="E32" s="62">
        <f>SUM(E27:E31)</f>
        <v>0</v>
      </c>
      <c r="F32" s="65">
        <f>SUM(F27:F31)</f>
        <v>0</v>
      </c>
      <c r="G32" s="30"/>
      <c r="H32" s="62">
        <f>SUM(H27:H31)</f>
        <v>0</v>
      </c>
      <c r="I32" s="62">
        <f>SUM(I27:I31)</f>
        <v>0</v>
      </c>
      <c r="J32" s="62">
        <f t="shared" ref="J32:L32" si="3">SUM(J27:J31)</f>
        <v>0</v>
      </c>
      <c r="K32" s="62">
        <f t="shared" si="3"/>
        <v>0</v>
      </c>
      <c r="L32" s="62">
        <f t="shared" si="3"/>
        <v>0</v>
      </c>
    </row>
    <row r="33" spans="2:12" x14ac:dyDescent="0.3">
      <c r="G33" s="29"/>
    </row>
    <row r="34" spans="2:12" x14ac:dyDescent="0.3">
      <c r="B34" t="s">
        <v>86</v>
      </c>
      <c r="C34" s="113"/>
      <c r="D34" s="113"/>
      <c r="E34" s="113"/>
      <c r="F34" s="113"/>
      <c r="G34" s="29"/>
      <c r="H34" s="113"/>
      <c r="I34" s="113"/>
      <c r="J34" s="113"/>
      <c r="K34" s="113"/>
      <c r="L34" s="113"/>
    </row>
    <row r="35" spans="2:12" x14ac:dyDescent="0.3">
      <c r="B35" t="s">
        <v>87</v>
      </c>
      <c r="C35" s="113"/>
      <c r="D35" s="113"/>
      <c r="E35" s="113"/>
      <c r="F35" s="113"/>
      <c r="G35" s="29"/>
      <c r="H35" s="113"/>
      <c r="I35" s="113"/>
      <c r="J35" s="113"/>
      <c r="K35" s="113"/>
      <c r="L35" s="113"/>
    </row>
    <row r="36" spans="2:12" x14ac:dyDescent="0.3">
      <c r="B36" t="s">
        <v>88</v>
      </c>
      <c r="C36" s="113"/>
      <c r="D36" s="113"/>
      <c r="E36" s="113"/>
      <c r="F36" s="113"/>
      <c r="G36" s="29"/>
      <c r="H36" s="113"/>
      <c r="I36" s="113"/>
      <c r="J36" s="113"/>
      <c r="K36" s="113"/>
      <c r="L36" s="113"/>
    </row>
    <row r="37" spans="2:12" x14ac:dyDescent="0.3">
      <c r="B37" t="s">
        <v>72</v>
      </c>
      <c r="C37" s="113"/>
      <c r="D37" s="113"/>
      <c r="E37" s="113"/>
      <c r="F37" s="113"/>
      <c r="G37" s="29"/>
      <c r="H37" s="113"/>
      <c r="I37" s="113"/>
      <c r="J37" s="113"/>
      <c r="K37" s="113"/>
      <c r="L37" s="113"/>
    </row>
    <row r="38" spans="2:12" x14ac:dyDescent="0.3">
      <c r="B38" t="s">
        <v>89</v>
      </c>
      <c r="C38" s="113"/>
      <c r="D38" s="113"/>
      <c r="E38" s="113"/>
      <c r="F38" s="113"/>
      <c r="G38" s="29"/>
      <c r="H38" s="113"/>
      <c r="I38" s="113"/>
      <c r="J38" s="113"/>
      <c r="K38" s="113"/>
      <c r="L38" s="113"/>
    </row>
    <row r="39" spans="2:12" s="2" customFormat="1" ht="13.5" x14ac:dyDescent="0.2">
      <c r="B39" s="2" t="s">
        <v>85</v>
      </c>
      <c r="C39" s="62">
        <f>SUM(C34:C38)</f>
        <v>0</v>
      </c>
      <c r="D39" s="62">
        <f>SUM(D34:D38)</f>
        <v>0</v>
      </c>
      <c r="E39" s="62">
        <f>SUM(E34:E38)</f>
        <v>0</v>
      </c>
      <c r="F39" s="65">
        <f>SUM(F34:F38)</f>
        <v>0</v>
      </c>
      <c r="G39" s="30"/>
      <c r="H39" s="62">
        <f>SUM(H34:H38)</f>
        <v>0</v>
      </c>
      <c r="I39" s="62">
        <f>SUM(I34:I38)</f>
        <v>0</v>
      </c>
      <c r="J39" s="62">
        <f>SUM(J34:J38)</f>
        <v>0</v>
      </c>
      <c r="K39" s="62">
        <f t="shared" ref="K39:L39" si="4">SUM(K34:K38)</f>
        <v>0</v>
      </c>
      <c r="L39" s="62">
        <f t="shared" si="4"/>
        <v>0</v>
      </c>
    </row>
    <row r="40" spans="2:12" ht="7.5" customHeight="1" x14ac:dyDescent="0.3">
      <c r="G40" s="29"/>
    </row>
    <row r="41" spans="2:12" s="2" customFormat="1" ht="13.5" x14ac:dyDescent="0.2">
      <c r="B41" s="2" t="s">
        <v>96</v>
      </c>
      <c r="G41" s="30"/>
      <c r="H41" s="88">
        <f>IF(H48+H39+H32&lt;H24+SUM(H11:H17)+H9,-(H48+H39+H32)+H24+SUM(H11:H17)+H9,0)</f>
        <v>0</v>
      </c>
      <c r="I41" s="89">
        <f>IF(I48+I39+I32&lt;I24+SUM(I11:I17)+I9,-(I48+I39+I32)+I24+SUM(I11:I17)+I9,0)</f>
        <v>0</v>
      </c>
      <c r="J41" s="89">
        <f>IF(J48+J39+J32&lt;J24+SUM(J11:J17)+J9,-(J48+J39+J32)+J24+SUM(J11:J17)+J9,0)</f>
        <v>0</v>
      </c>
      <c r="K41" s="89">
        <f>IF(K48+K39+K32&lt;K24+SUM(K11:K17)+K9,-(K48+K39+K32)+K24+SUM(K11:K17)+K9,0)</f>
        <v>0</v>
      </c>
      <c r="L41" s="89">
        <f>IF(L48+L39+L32&lt;L24+SUM(L11:L17)+L9,-(L48+L39+L32)+L24+SUM(L11:L17)+L9,0)</f>
        <v>0</v>
      </c>
    </row>
    <row r="42" spans="2:12" ht="6" customHeight="1" x14ac:dyDescent="0.3">
      <c r="G42" s="29"/>
      <c r="H42" s="56"/>
      <c r="I42" s="56"/>
      <c r="J42" s="56"/>
      <c r="K42" s="56"/>
      <c r="L42" s="56"/>
    </row>
    <row r="43" spans="2:12" x14ac:dyDescent="0.3">
      <c r="B43" t="s">
        <v>184</v>
      </c>
      <c r="C43" s="113"/>
      <c r="D43" s="113"/>
      <c r="E43" s="113"/>
      <c r="F43" s="113"/>
      <c r="G43" s="29"/>
      <c r="H43" s="63">
        <f>F43</f>
        <v>0</v>
      </c>
      <c r="I43" s="63">
        <f>H43</f>
        <v>0</v>
      </c>
      <c r="J43" s="63">
        <f t="shared" ref="J43:L44" si="5">I43</f>
        <v>0</v>
      </c>
      <c r="K43" s="63">
        <f t="shared" si="5"/>
        <v>0</v>
      </c>
      <c r="L43" s="63">
        <f t="shared" si="5"/>
        <v>0</v>
      </c>
    </row>
    <row r="44" spans="2:12" x14ac:dyDescent="0.3">
      <c r="B44" t="s">
        <v>90</v>
      </c>
      <c r="C44" s="113"/>
      <c r="D44" s="113"/>
      <c r="E44" s="113"/>
      <c r="F44" s="113"/>
      <c r="G44" s="29"/>
      <c r="H44" s="63">
        <f>F44</f>
        <v>0</v>
      </c>
      <c r="I44" s="63">
        <f>H44</f>
        <v>0</v>
      </c>
      <c r="J44" s="63">
        <f t="shared" si="5"/>
        <v>0</v>
      </c>
      <c r="K44" s="63">
        <f t="shared" si="5"/>
        <v>0</v>
      </c>
      <c r="L44" s="63">
        <f t="shared" si="5"/>
        <v>0</v>
      </c>
    </row>
    <row r="45" spans="2:12" x14ac:dyDescent="0.3">
      <c r="B45" t="s">
        <v>95</v>
      </c>
      <c r="C45" s="113"/>
      <c r="D45" s="113"/>
      <c r="E45" s="113"/>
      <c r="F45" s="113"/>
      <c r="G45" s="29"/>
      <c r="H45" s="63">
        <f>F45+F46+'[1]A. Erfolgsrechnung'!I34-'[1]C. Bilanzplanung'!I44</f>
        <v>0</v>
      </c>
      <c r="I45" s="60">
        <f>H45+'[1]A. Erfolgsrechnung'!J34-'[1]C. Bilanzplanung'!J44</f>
        <v>0</v>
      </c>
      <c r="J45" s="60">
        <f>I45+'[1]A. Erfolgsrechnung'!K34-'[1]C. Bilanzplanung'!K44</f>
        <v>0</v>
      </c>
      <c r="K45" s="60">
        <f>J45+'[1]A. Erfolgsrechnung'!L34-'[1]C. Bilanzplanung'!L44</f>
        <v>0</v>
      </c>
      <c r="L45" s="60">
        <f>K45+'[1]A. Erfolgsrechnung'!M34-'[1]C. Bilanzplanung'!M44</f>
        <v>0</v>
      </c>
    </row>
    <row r="46" spans="2:12" x14ac:dyDescent="0.3">
      <c r="B46" t="s">
        <v>91</v>
      </c>
      <c r="C46" s="60">
        <f>'[1]A. Erfolgsrechnung'!D34</f>
        <v>0</v>
      </c>
      <c r="D46" s="60">
        <f>'[1]A. Erfolgsrechnung'!E34</f>
        <v>0</v>
      </c>
      <c r="E46" s="60">
        <f>'[1]A. Erfolgsrechnung'!F34</f>
        <v>0</v>
      </c>
      <c r="F46" s="60">
        <f>'[1]A. Erfolgsrechnung'!G34</f>
        <v>0</v>
      </c>
      <c r="G46" s="29"/>
      <c r="H46" s="60"/>
      <c r="I46" s="60"/>
      <c r="J46" s="60"/>
      <c r="K46" s="60"/>
      <c r="L46" s="60"/>
    </row>
    <row r="47" spans="2:12" s="3" customFormat="1" ht="14.25" x14ac:dyDescent="0.25">
      <c r="B47" s="3" t="s">
        <v>16</v>
      </c>
      <c r="C47" s="61"/>
      <c r="D47" s="61"/>
      <c r="E47" s="61"/>
      <c r="F47" s="61"/>
      <c r="G47" s="31"/>
      <c r="H47" s="61"/>
      <c r="I47" s="61"/>
      <c r="J47" s="61"/>
      <c r="K47" s="61"/>
      <c r="L47" s="61"/>
    </row>
    <row r="48" spans="2:12" s="2" customFormat="1" ht="13.5" x14ac:dyDescent="0.2">
      <c r="B48" s="10" t="s">
        <v>92</v>
      </c>
      <c r="C48" s="75">
        <f>SUM(C43:C46)</f>
        <v>0</v>
      </c>
      <c r="D48" s="75">
        <f>SUM(D43:D46)</f>
        <v>0</v>
      </c>
      <c r="E48" s="75">
        <f>SUM(E43:E46)</f>
        <v>0</v>
      </c>
      <c r="F48" s="75">
        <f>SUM(F43:F46)</f>
        <v>0</v>
      </c>
      <c r="G48" s="30"/>
      <c r="H48" s="62">
        <f>H43+H44+H45</f>
        <v>0</v>
      </c>
      <c r="I48" s="62">
        <f>I43+I44+I45</f>
        <v>0</v>
      </c>
      <c r="J48" s="62">
        <f>J43+J44+J45+J46</f>
        <v>0</v>
      </c>
      <c r="K48" s="62">
        <f>K43+K44+K45+K46</f>
        <v>0</v>
      </c>
      <c r="L48" s="62">
        <f>L43+L44+L45+L46</f>
        <v>0</v>
      </c>
    </row>
    <row r="49" spans="2:12" s="2" customFormat="1" x14ac:dyDescent="0.3">
      <c r="B49" s="12" t="s">
        <v>93</v>
      </c>
      <c r="C49" s="19" t="e">
        <f>C48/C51</f>
        <v>#DIV/0!</v>
      </c>
      <c r="D49" s="19" t="e">
        <f>D48/D51</f>
        <v>#DIV/0!</v>
      </c>
      <c r="E49" s="19" t="e">
        <f>E48/E51</f>
        <v>#DIV/0!</v>
      </c>
      <c r="F49" s="19" t="e">
        <f>F48/F51</f>
        <v>#DIV/0!</v>
      </c>
      <c r="G49" s="30"/>
      <c r="H49" s="19" t="e">
        <f>H48/H51</f>
        <v>#DIV/0!</v>
      </c>
      <c r="I49" s="19" t="e">
        <f>I48/I51</f>
        <v>#DIV/0!</v>
      </c>
      <c r="J49" s="19" t="e">
        <f t="shared" ref="J49:L49" si="6">J48/J51</f>
        <v>#DIV/0!</v>
      </c>
      <c r="K49" s="19" t="e">
        <f t="shared" si="6"/>
        <v>#DIV/0!</v>
      </c>
      <c r="L49" s="19" t="e">
        <f t="shared" si="6"/>
        <v>#DIV/0!</v>
      </c>
    </row>
    <row r="50" spans="2:12" s="2" customFormat="1" ht="14.25" x14ac:dyDescent="0.25">
      <c r="B50" s="12"/>
      <c r="C50" s="12"/>
      <c r="D50" s="11"/>
      <c r="E50" s="11"/>
      <c r="F50" s="11"/>
      <c r="G50" s="30"/>
      <c r="H50" s="49"/>
      <c r="I50" s="9"/>
      <c r="J50" s="9"/>
      <c r="K50" s="9"/>
      <c r="L50" s="9"/>
    </row>
    <row r="51" spans="2:12" s="2" customFormat="1" ht="13.5" x14ac:dyDescent="0.2">
      <c r="B51" s="13" t="s">
        <v>94</v>
      </c>
      <c r="C51" s="68">
        <f>SUM(C32,C39,C48)</f>
        <v>0</v>
      </c>
      <c r="D51" s="68">
        <f>SUM(D32,D39,D48)</f>
        <v>0</v>
      </c>
      <c r="E51" s="68">
        <f>SUM(E32,E39,E48)</f>
        <v>0</v>
      </c>
      <c r="F51" s="68">
        <f>SUM(F32,F39,F48)</f>
        <v>0</v>
      </c>
      <c r="G51" s="62"/>
      <c r="H51" s="62">
        <f>H32+H39+H48+H41</f>
        <v>0</v>
      </c>
      <c r="I51" s="62">
        <f t="shared" ref="I51:L51" si="7">I32+I39+I48+I41</f>
        <v>0</v>
      </c>
      <c r="J51" s="62">
        <f t="shared" si="7"/>
        <v>0</v>
      </c>
      <c r="K51" s="62">
        <f t="shared" si="7"/>
        <v>0</v>
      </c>
      <c r="L51" s="62">
        <f t="shared" si="7"/>
        <v>0</v>
      </c>
    </row>
    <row r="53" spans="2:12" s="3" customFormat="1" ht="14.25" x14ac:dyDescent="0.25">
      <c r="B53" s="15" t="s">
        <v>3</v>
      </c>
      <c r="C53" s="61">
        <f>C25-C51</f>
        <v>0</v>
      </c>
      <c r="D53" s="61">
        <f>D25-D51</f>
        <v>0</v>
      </c>
      <c r="E53" s="61">
        <f>E25-E51</f>
        <v>0</v>
      </c>
      <c r="F53" s="61">
        <f>F25-F51</f>
        <v>0</v>
      </c>
      <c r="G53" s="61"/>
      <c r="H53" s="61">
        <f>H25-H51</f>
        <v>0</v>
      </c>
      <c r="I53" s="61">
        <f>I25-I51</f>
        <v>0</v>
      </c>
      <c r="J53" s="61">
        <f>J25-J51</f>
        <v>0</v>
      </c>
      <c r="K53" s="61">
        <f>K25-K51</f>
        <v>0</v>
      </c>
      <c r="L53" s="61">
        <f>L25-L51</f>
        <v>0</v>
      </c>
    </row>
  </sheetData>
  <mergeCells count="4">
    <mergeCell ref="C6:F6"/>
    <mergeCell ref="H6:L6"/>
    <mergeCell ref="C3:E3"/>
    <mergeCell ref="C2:E2"/>
  </mergeCells>
  <pageMargins left="0.70866141732283472" right="0.70866141732283472" top="0.74803149606299213" bottom="0.74803149606299213" header="0.31496062992125984" footer="0.31496062992125984"/>
  <pageSetup paperSize="9" scale="77" orientation="landscape" verticalDpi="597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2:O46"/>
  <sheetViews>
    <sheetView showGridLines="0" topLeftCell="A13" zoomScale="90" zoomScaleNormal="90" workbookViewId="0">
      <selection activeCell="O17" sqref="O17"/>
    </sheetView>
  </sheetViews>
  <sheetFormatPr defaultColWidth="8.75" defaultRowHeight="15.75" outlineLevelRow="1" x14ac:dyDescent="0.3"/>
  <cols>
    <col min="1" max="1" width="4.625" customWidth="1"/>
    <col min="2" max="2" width="30.625" customWidth="1"/>
    <col min="3" max="3" width="2.625" customWidth="1"/>
    <col min="4" max="4" width="11.25" customWidth="1"/>
    <col min="5" max="5" width="10.625" customWidth="1"/>
    <col min="6" max="6" width="12.625" customWidth="1"/>
    <col min="7" max="7" width="10.625" customWidth="1"/>
    <col min="8" max="8" width="0.875" customWidth="1"/>
    <col min="9" max="13" width="10.625" customWidth="1"/>
  </cols>
  <sheetData>
    <row r="2" spans="2:15" x14ac:dyDescent="0.3">
      <c r="B2" s="22" t="s">
        <v>62</v>
      </c>
      <c r="C2" s="25"/>
      <c r="D2" s="94">
        <f>'A. Comptes de résultats'!D2</f>
        <v>0</v>
      </c>
      <c r="E2" s="94"/>
      <c r="F2" s="95"/>
    </row>
    <row r="3" spans="2:15" x14ac:dyDescent="0.3">
      <c r="B3" s="20" t="s">
        <v>63</v>
      </c>
      <c r="C3" s="26"/>
      <c r="D3" s="92">
        <f>'A. Comptes de résultats'!D3</f>
        <v>44561</v>
      </c>
      <c r="E3" s="92"/>
      <c r="F3" s="93"/>
    </row>
    <row r="5" spans="2:15" x14ac:dyDescent="0.3">
      <c r="B5" s="110" t="s">
        <v>107</v>
      </c>
      <c r="C5" s="110"/>
      <c r="D5" s="110"/>
      <c r="E5" s="110"/>
      <c r="F5" s="111"/>
      <c r="G5" s="21"/>
      <c r="H5" s="21"/>
      <c r="I5" s="21"/>
      <c r="J5" s="21"/>
      <c r="K5" s="21"/>
      <c r="L5" s="21"/>
      <c r="M5" s="21"/>
      <c r="N5" s="21"/>
      <c r="O5" s="21"/>
    </row>
    <row r="6" spans="2:15" x14ac:dyDescent="0.3">
      <c r="B6" s="3" t="s">
        <v>0</v>
      </c>
      <c r="C6" s="3"/>
      <c r="D6" s="96" t="s">
        <v>106</v>
      </c>
      <c r="E6" s="96" t="s">
        <v>104</v>
      </c>
      <c r="F6" s="96" t="s">
        <v>105</v>
      </c>
      <c r="G6" s="18"/>
    </row>
    <row r="7" spans="2:15" x14ac:dyDescent="0.3">
      <c r="B7" s="5"/>
      <c r="C7" s="5"/>
      <c r="D7" s="97"/>
      <c r="E7" s="97"/>
      <c r="F7" s="97"/>
      <c r="G7" s="34"/>
    </row>
    <row r="8" spans="2:15" x14ac:dyDescent="0.3">
      <c r="B8" s="27" t="s">
        <v>97</v>
      </c>
      <c r="C8" s="24"/>
      <c r="D8" s="113"/>
      <c r="E8" s="33">
        <v>0.2</v>
      </c>
      <c r="F8" s="63">
        <f t="shared" ref="F8:F13" si="0">D8*E8</f>
        <v>0</v>
      </c>
      <c r="G8" s="21"/>
    </row>
    <row r="9" spans="2:15" x14ac:dyDescent="0.3">
      <c r="B9" s="27" t="s">
        <v>98</v>
      </c>
      <c r="C9" s="24"/>
      <c r="D9" s="113"/>
      <c r="E9" s="33">
        <v>0.2</v>
      </c>
      <c r="F9" s="63">
        <f t="shared" si="0"/>
        <v>0</v>
      </c>
      <c r="G9" s="21"/>
    </row>
    <row r="10" spans="2:15" x14ac:dyDescent="0.3">
      <c r="B10" s="27" t="s">
        <v>99</v>
      </c>
      <c r="C10" s="24"/>
      <c r="D10" s="113"/>
      <c r="E10" s="33">
        <v>0.1</v>
      </c>
      <c r="F10" s="63">
        <f t="shared" si="0"/>
        <v>0</v>
      </c>
      <c r="G10" s="21"/>
    </row>
    <row r="11" spans="2:15" x14ac:dyDescent="0.3">
      <c r="B11" s="27" t="s">
        <v>100</v>
      </c>
      <c r="C11" s="24"/>
      <c r="D11" s="113"/>
      <c r="E11" s="33">
        <v>0.1</v>
      </c>
      <c r="F11" s="63">
        <f t="shared" si="0"/>
        <v>0</v>
      </c>
      <c r="G11" s="21"/>
    </row>
    <row r="12" spans="2:15" x14ac:dyDescent="0.3">
      <c r="B12" s="37" t="s">
        <v>101</v>
      </c>
      <c r="C12" s="24"/>
      <c r="D12" s="113"/>
      <c r="E12" s="33">
        <v>0.03</v>
      </c>
      <c r="F12" s="63">
        <f t="shared" si="0"/>
        <v>0</v>
      </c>
      <c r="G12" s="21"/>
    </row>
    <row r="13" spans="2:15" x14ac:dyDescent="0.3">
      <c r="B13" s="35"/>
      <c r="C13" s="23"/>
      <c r="D13" s="36"/>
      <c r="E13" s="47"/>
      <c r="F13" s="64">
        <f t="shared" si="0"/>
        <v>0</v>
      </c>
      <c r="G13" s="21"/>
    </row>
    <row r="14" spans="2:15" s="2" customFormat="1" ht="13.5" x14ac:dyDescent="0.2">
      <c r="B14" s="2" t="s">
        <v>6</v>
      </c>
      <c r="D14" s="62">
        <f>SUM(D8:D13)</f>
        <v>0</v>
      </c>
      <c r="F14" s="62">
        <f>SUM(F8:F13)</f>
        <v>0</v>
      </c>
    </row>
    <row r="16" spans="2:15" s="2" customFormat="1" ht="13.5" x14ac:dyDescent="0.2">
      <c r="B16" s="110" t="s">
        <v>102</v>
      </c>
      <c r="C16" s="110"/>
      <c r="D16" s="110"/>
      <c r="E16" s="110"/>
      <c r="F16" s="110"/>
      <c r="G16" s="110"/>
      <c r="H16" s="116"/>
      <c r="I16" s="110"/>
      <c r="J16" s="110"/>
      <c r="K16" s="110"/>
      <c r="L16" s="110"/>
      <c r="M16" s="110"/>
    </row>
    <row r="17" spans="2:13" s="3" customFormat="1" ht="14.25" x14ac:dyDescent="0.25">
      <c r="B17" s="3" t="s">
        <v>0</v>
      </c>
      <c r="D17" s="91" t="s">
        <v>66</v>
      </c>
      <c r="E17" s="91"/>
      <c r="F17" s="91"/>
      <c r="G17" s="91"/>
      <c r="H17" s="48"/>
      <c r="I17" s="91" t="s">
        <v>65</v>
      </c>
      <c r="J17" s="91"/>
      <c r="K17" s="91"/>
      <c r="L17" s="91"/>
      <c r="M17" s="91"/>
    </row>
    <row r="18" spans="2:13" x14ac:dyDescent="0.3">
      <c r="B18" s="6"/>
      <c r="C18" s="6"/>
      <c r="D18" s="7">
        <f>'B. Bilan'!C7</f>
        <v>43465</v>
      </c>
      <c r="E18" s="7">
        <f>'B. Bilan'!D7</f>
        <v>43830</v>
      </c>
      <c r="F18" s="7">
        <f>'B. Bilan'!E7</f>
        <v>44196</v>
      </c>
      <c r="G18" s="7">
        <f>'B. Bilan'!F7</f>
        <v>44561</v>
      </c>
      <c r="H18" s="28"/>
      <c r="I18" s="7">
        <f>'A. Comptes de résultats'!I7</f>
        <v>44926</v>
      </c>
      <c r="J18" s="7">
        <f>'A. Comptes de résultats'!J7</f>
        <v>45291</v>
      </c>
      <c r="K18" s="7">
        <f>'A. Comptes de résultats'!K7</f>
        <v>45657</v>
      </c>
      <c r="L18" s="7">
        <f>'A. Comptes de résultats'!L7</f>
        <v>46022</v>
      </c>
      <c r="M18" s="7">
        <f>'A. Comptes de résultats'!M7</f>
        <v>46387</v>
      </c>
    </row>
    <row r="19" spans="2:13" x14ac:dyDescent="0.3">
      <c r="B19" s="27" t="s">
        <v>97</v>
      </c>
      <c r="D19" s="42"/>
      <c r="E19" s="42"/>
      <c r="F19" s="42"/>
      <c r="G19" s="42"/>
      <c r="H19" s="29"/>
      <c r="I19" s="113"/>
      <c r="J19" s="113"/>
      <c r="K19" s="113"/>
      <c r="L19" s="113"/>
      <c r="M19" s="113"/>
    </row>
    <row r="20" spans="2:13" x14ac:dyDescent="0.3">
      <c r="B20" s="27" t="s">
        <v>98</v>
      </c>
      <c r="D20" s="42"/>
      <c r="E20" s="42"/>
      <c r="F20" s="42"/>
      <c r="G20" s="42"/>
      <c r="H20" s="29"/>
      <c r="I20" s="113"/>
      <c r="J20" s="113"/>
      <c r="K20" s="113"/>
      <c r="L20" s="113"/>
      <c r="M20" s="113"/>
    </row>
    <row r="21" spans="2:13" x14ac:dyDescent="0.3">
      <c r="B21" s="27" t="s">
        <v>99</v>
      </c>
      <c r="D21" s="42"/>
      <c r="E21" s="42"/>
      <c r="F21" s="42"/>
      <c r="G21" s="42"/>
      <c r="H21" s="29"/>
      <c r="I21" s="113"/>
      <c r="J21" s="113"/>
      <c r="K21" s="113"/>
      <c r="L21" s="113"/>
      <c r="M21" s="113"/>
    </row>
    <row r="22" spans="2:13" x14ac:dyDescent="0.3">
      <c r="B22" s="27" t="s">
        <v>100</v>
      </c>
      <c r="D22" s="42"/>
      <c r="E22" s="42"/>
      <c r="F22" s="42"/>
      <c r="G22" s="42"/>
      <c r="H22" s="29"/>
      <c r="I22" s="113"/>
      <c r="J22" s="113"/>
      <c r="K22" s="113"/>
      <c r="L22" s="113"/>
      <c r="M22" s="113"/>
    </row>
    <row r="23" spans="2:13" x14ac:dyDescent="0.3">
      <c r="B23" s="37" t="s">
        <v>101</v>
      </c>
      <c r="D23" s="42"/>
      <c r="E23" s="42"/>
      <c r="F23" s="42"/>
      <c r="G23" s="42"/>
      <c r="H23" s="29"/>
      <c r="I23" s="113"/>
      <c r="J23" s="113"/>
      <c r="K23" s="113"/>
      <c r="L23" s="113"/>
      <c r="M23" s="113"/>
    </row>
    <row r="24" spans="2:13" x14ac:dyDescent="0.3">
      <c r="B24" s="35"/>
      <c r="C24" s="6"/>
      <c r="D24" s="43"/>
      <c r="E24" s="43"/>
      <c r="F24" s="43"/>
      <c r="G24" s="43"/>
      <c r="H24" s="28"/>
      <c r="I24" s="36"/>
      <c r="J24" s="36"/>
      <c r="K24" s="36"/>
      <c r="L24" s="36"/>
      <c r="M24" s="36"/>
    </row>
    <row r="25" spans="2:13" s="2" customFormat="1" ht="13.5" x14ac:dyDescent="0.2">
      <c r="B25" s="2" t="s">
        <v>6</v>
      </c>
      <c r="D25" s="65">
        <f>'[1]B. Bilanz'!D24-'[1]B. Bilanz'!C24-'[1]A. Erfolgsrechnung'!E25</f>
        <v>0</v>
      </c>
      <c r="E25" s="65">
        <f>'[1]B. Bilanz'!E24-'[1]B. Bilanz'!D24-'[1]A. Erfolgsrechnung'!F25</f>
        <v>0</v>
      </c>
      <c r="F25" s="65">
        <f>'[1]B. Bilanz'!F24-'[1]B. Bilanz'!E24-'[1]A. Erfolgsrechnung'!G25</f>
        <v>0</v>
      </c>
      <c r="G25" s="65">
        <f>'[1]B. Bilanz'!F24-'[1]B. Bilanz'!E24-'[1]A. Erfolgsrechnung'!I25</f>
        <v>0</v>
      </c>
      <c r="H25" s="30"/>
      <c r="I25" s="62">
        <f>SUM(I19:I24)</f>
        <v>0</v>
      </c>
      <c r="J25" s="62">
        <f>SUM(J19:J24)</f>
        <v>0</v>
      </c>
      <c r="K25" s="62">
        <f>SUM(K19:K24)</f>
        <v>0</v>
      </c>
      <c r="L25" s="62">
        <f>SUM(L19:L24)</f>
        <v>0</v>
      </c>
      <c r="M25" s="62">
        <f>SUM(M19:M24)</f>
        <v>0</v>
      </c>
    </row>
    <row r="26" spans="2:13" x14ac:dyDescent="0.3">
      <c r="H26" s="29"/>
    </row>
    <row r="27" spans="2:13" s="2" customFormat="1" ht="13.5" x14ac:dyDescent="0.2">
      <c r="B27" s="110" t="s">
        <v>103</v>
      </c>
      <c r="C27" s="110"/>
      <c r="D27" s="110"/>
      <c r="E27" s="110"/>
      <c r="F27" s="110"/>
      <c r="G27" s="110"/>
      <c r="H27" s="117"/>
      <c r="I27" s="110"/>
    </row>
    <row r="28" spans="2:13" x14ac:dyDescent="0.3">
      <c r="B28" s="3" t="s">
        <v>0</v>
      </c>
      <c r="D28" s="91" t="s">
        <v>66</v>
      </c>
      <c r="E28" s="91"/>
      <c r="F28" s="91"/>
      <c r="G28" s="91"/>
      <c r="H28" s="29"/>
      <c r="I28" s="18" t="s">
        <v>119</v>
      </c>
      <c r="J28" s="44"/>
      <c r="K28" s="44"/>
      <c r="L28" s="44"/>
      <c r="M28" s="44"/>
    </row>
    <row r="29" spans="2:13" x14ac:dyDescent="0.3">
      <c r="B29" s="6"/>
      <c r="C29" s="6"/>
      <c r="D29" s="7">
        <f>D18</f>
        <v>43465</v>
      </c>
      <c r="E29" s="7">
        <f t="shared" ref="E29:G29" si="1">E18</f>
        <v>43830</v>
      </c>
      <c r="F29" s="7">
        <f t="shared" si="1"/>
        <v>44196</v>
      </c>
      <c r="G29" s="7">
        <f t="shared" si="1"/>
        <v>44561</v>
      </c>
      <c r="H29" s="28"/>
      <c r="I29" s="7"/>
      <c r="J29" s="34"/>
      <c r="K29" s="34"/>
      <c r="L29" s="34"/>
      <c r="M29" s="34"/>
    </row>
    <row r="30" spans="2:13" x14ac:dyDescent="0.3">
      <c r="B30" s="3" t="s">
        <v>109</v>
      </c>
      <c r="D30" s="40"/>
      <c r="E30" s="40" t="e">
        <f>'[1]B. Bilanz'!D11/'[1]A. Erfolgsrechnung'!E8*360</f>
        <v>#DIV/0!</v>
      </c>
      <c r="F30" s="40" t="e">
        <f>'[1]B. Bilanz'!E11/'[1]A. Erfolgsrechnung'!F8*360</f>
        <v>#DIV/0!</v>
      </c>
      <c r="G30" s="40" t="e">
        <f>'[1]B. Bilanz'!F11/'[1]A. Erfolgsrechnung'!G8*360</f>
        <v>#DIV/0!</v>
      </c>
      <c r="H30" s="29" t="e">
        <f>'[1]B. Bilanz'!G11/'[1]A. Erfolgsrechnung'!H8*360</f>
        <v>#DIV/0!</v>
      </c>
      <c r="I30" s="118"/>
    </row>
    <row r="31" spans="2:13" x14ac:dyDescent="0.3">
      <c r="B31" s="3" t="s">
        <v>110</v>
      </c>
      <c r="D31" s="40"/>
      <c r="E31" s="40" t="e">
        <f>'[1]B. Bilanz'!D13/-'[1]A. Erfolgsrechnung'!E9*360</f>
        <v>#DIV/0!</v>
      </c>
      <c r="F31" s="40" t="e">
        <f>'[1]B. Bilanz'!E13/-'[1]A. Erfolgsrechnung'!F9*360</f>
        <v>#DIV/0!</v>
      </c>
      <c r="G31" s="40" t="e">
        <f>'[1]B. Bilanz'!F13/-'[1]A. Erfolgsrechnung'!G9*360</f>
        <v>#DIV/0!</v>
      </c>
      <c r="H31" s="29" t="e">
        <f>'[1]B. Bilanz'!G13/-'[1]A. Erfolgsrechnung'!H9*360</f>
        <v>#DIV/0!</v>
      </c>
      <c r="I31" s="118"/>
    </row>
    <row r="32" spans="2:13" x14ac:dyDescent="0.3">
      <c r="B32" s="3" t="s">
        <v>111</v>
      </c>
      <c r="D32" s="40"/>
      <c r="E32" s="40" t="e">
        <f>'[1]B. Bilanz'!D27/-'[1]A. Erfolgsrechnung'!E9*360</f>
        <v>#DIV/0!</v>
      </c>
      <c r="F32" s="40" t="e">
        <f>'[1]B. Bilanz'!E27/-'[1]A. Erfolgsrechnung'!F9*360</f>
        <v>#DIV/0!</v>
      </c>
      <c r="G32" s="40" t="e">
        <f>'[1]B. Bilanz'!F27/-'[1]A. Erfolgsrechnung'!G9*360</f>
        <v>#DIV/0!</v>
      </c>
      <c r="H32" s="29" t="e">
        <f>'[1]B. Bilanz'!G27/-'[1]A. Erfolgsrechnung'!H9*360</f>
        <v>#DIV/0!</v>
      </c>
      <c r="I32" s="118"/>
    </row>
    <row r="33" spans="2:15" x14ac:dyDescent="0.3">
      <c r="B33" s="3" t="s">
        <v>112</v>
      </c>
      <c r="H33" s="29"/>
      <c r="I33" s="113"/>
      <c r="K33" s="3"/>
    </row>
    <row r="35" spans="2:15" s="2" customFormat="1" ht="13.5" x14ac:dyDescent="0.2">
      <c r="B35" s="110" t="s">
        <v>113</v>
      </c>
      <c r="C35" s="110"/>
      <c r="D35" s="110"/>
      <c r="E35" s="110"/>
      <c r="F35" s="110"/>
      <c r="G35" s="110"/>
      <c r="H35" s="110"/>
      <c r="I35" s="110"/>
      <c r="J35" s="110"/>
      <c r="K35" s="110"/>
      <c r="L35" s="110"/>
      <c r="M35" s="110"/>
    </row>
    <row r="36" spans="2:15" s="3" customFormat="1" ht="14.45" customHeight="1" x14ac:dyDescent="0.25">
      <c r="B36" s="24" t="s">
        <v>0</v>
      </c>
      <c r="C36" s="24"/>
      <c r="D36" s="24"/>
      <c r="E36" s="24"/>
      <c r="F36" s="24"/>
      <c r="G36" s="24"/>
      <c r="H36" s="24"/>
      <c r="I36" s="91" t="s">
        <v>65</v>
      </c>
      <c r="J36" s="91"/>
      <c r="K36" s="91"/>
      <c r="L36" s="91"/>
      <c r="M36" s="91"/>
    </row>
    <row r="37" spans="2:15" x14ac:dyDescent="0.3">
      <c r="B37" s="23"/>
      <c r="C37" s="6"/>
      <c r="D37" s="6"/>
      <c r="E37" s="6"/>
      <c r="F37" s="6"/>
      <c r="G37" s="6"/>
      <c r="H37" s="6"/>
      <c r="I37" s="7">
        <f>'A. Comptes de résultats'!I7</f>
        <v>44926</v>
      </c>
      <c r="J37" s="7">
        <f>'A. Comptes de résultats'!J7</f>
        <v>45291</v>
      </c>
      <c r="K37" s="7">
        <f>'A. Comptes de résultats'!K7</f>
        <v>45657</v>
      </c>
      <c r="L37" s="7">
        <f>'A. Comptes de résultats'!L7</f>
        <v>46022</v>
      </c>
      <c r="M37" s="7">
        <f>'A. Comptes de résultats'!M7</f>
        <v>46387</v>
      </c>
    </row>
    <row r="38" spans="2:15" hidden="1" outlineLevel="1" x14ac:dyDescent="0.3">
      <c r="B38" s="24" t="s">
        <v>12</v>
      </c>
      <c r="I38" s="60">
        <f>'B. Bilan'!H9+SUM('B. Bilan'!H11:H17)+'B. Bilan'!H24</f>
        <v>0</v>
      </c>
      <c r="J38" s="60">
        <f>'B. Bilan'!I9+SUM('B. Bilan'!I11:I17)+'B. Bilan'!I24</f>
        <v>0</v>
      </c>
      <c r="K38" s="60">
        <f>'B. Bilan'!J9+SUM('B. Bilan'!J11:J17)+'B. Bilan'!J24</f>
        <v>0</v>
      </c>
      <c r="L38" s="60">
        <f>'B. Bilan'!K9+SUM('B. Bilan'!K11:K17)+'B. Bilan'!K24</f>
        <v>0</v>
      </c>
      <c r="M38" s="60">
        <f>'B. Bilan'!L9+SUM('B. Bilan'!L11:L17)+'B. Bilan'!L24</f>
        <v>0</v>
      </c>
    </row>
    <row r="39" spans="2:15" hidden="1" outlineLevel="1" x14ac:dyDescent="0.3">
      <c r="B39" s="3" t="s">
        <v>13</v>
      </c>
      <c r="I39" s="60">
        <f>'B. Bilan'!H32+'B. Bilan'!H39+'B. Bilan'!H43+'B. Bilan'!H44+'A. Comptes de résultats'!I34+SUM('B. Bilan'!F45:F46)</f>
        <v>0</v>
      </c>
      <c r="J39" s="60">
        <f>'B. Bilan'!I32+'B. Bilan'!I39+'B. Bilan'!I43+'B. Bilan'!I44+'A. Comptes de résultats'!J34+'B. Bilan'!H45</f>
        <v>0</v>
      </c>
      <c r="K39" s="60">
        <f>'B. Bilan'!J32+'B. Bilan'!J39+'B. Bilan'!J43+'B. Bilan'!J44+'A. Comptes de résultats'!K34+'B. Bilan'!I45</f>
        <v>0</v>
      </c>
      <c r="L39" s="60">
        <f>'B. Bilan'!K32+'B. Bilan'!K39+'B. Bilan'!K43+'B. Bilan'!K44+'A. Comptes de résultats'!L34+'B. Bilan'!J45</f>
        <v>0</v>
      </c>
      <c r="M39" s="60">
        <f>'B. Bilan'!L32+'B. Bilan'!L39+'B. Bilan'!L43+'B. Bilan'!L44+'A. Comptes de résultats'!M34+'B. Bilan'!K45</f>
        <v>0</v>
      </c>
    </row>
    <row r="40" spans="2:15" hidden="1" outlineLevel="1" x14ac:dyDescent="0.3">
      <c r="B40" s="3" t="s">
        <v>14</v>
      </c>
      <c r="I40" s="60">
        <f>IF(I39&gt;I38, I39-I38,0)</f>
        <v>0</v>
      </c>
      <c r="J40" s="60">
        <f t="shared" ref="J40:M40" si="2">IF(J39&gt;J38, J39-J38,0)</f>
        <v>0</v>
      </c>
      <c r="K40" s="60">
        <f t="shared" si="2"/>
        <v>0</v>
      </c>
      <c r="L40" s="60">
        <f t="shared" si="2"/>
        <v>0</v>
      </c>
      <c r="M40" s="60">
        <f t="shared" si="2"/>
        <v>0</v>
      </c>
    </row>
    <row r="41" spans="2:15" collapsed="1" x14ac:dyDescent="0.3">
      <c r="B41" s="3" t="s">
        <v>117</v>
      </c>
      <c r="I41" s="60">
        <f>IF('[1]B. Bilanz'!F45+'[1]B. Bilanz'!F46+'[1]A. Erfolgsrechnung'!I34&gt;0,'[1]B. Bilanz'!F45+'[1]B. Bilanz'!F46+'[1]A. Erfolgsrechnung'!I34,0)</f>
        <v>0</v>
      </c>
      <c r="J41" s="60">
        <f>IF('[1]B. Bilanz'!H45+'[1]A. Erfolgsrechnung'!J34&gt;0,'[1]B. Bilanz'!H45+'[1]A. Erfolgsrechnung'!J34,0)</f>
        <v>0</v>
      </c>
      <c r="K41" s="60">
        <f>IF('[1]B. Bilanz'!I45+'[1]A. Erfolgsrechnung'!K34&gt;0,'[1]B. Bilanz'!I45+'[1]A. Erfolgsrechnung'!K34,0)</f>
        <v>0</v>
      </c>
      <c r="L41" s="60">
        <f>IF('[1]B. Bilanz'!J45+'[1]A. Erfolgsrechnung'!L34&gt;0,'[1]B. Bilanz'!J45+'[1]A. Erfolgsrechnung'!L34,0)</f>
        <v>0</v>
      </c>
      <c r="M41" s="60">
        <f>IF('[1]B. Bilanz'!K45+'[1]A. Erfolgsrechnung'!M34&gt;0,'[1]B. Bilanz'!K45+'[1]A. Erfolgsrechnung'!M34,0)</f>
        <v>0</v>
      </c>
      <c r="O41" s="3"/>
    </row>
    <row r="42" spans="2:15" x14ac:dyDescent="0.3">
      <c r="B42" s="3" t="s">
        <v>116</v>
      </c>
      <c r="I42" s="60">
        <f>IF(MIN(I40:I41)&gt;0,MIN(I40:I41),0)</f>
        <v>0</v>
      </c>
      <c r="J42" s="60">
        <f t="shared" ref="J42:M42" si="3">IF(MIN(J40:J41)&gt;0,MIN(J40:J41),0)</f>
        <v>0</v>
      </c>
      <c r="K42" s="60">
        <f t="shared" si="3"/>
        <v>0</v>
      </c>
      <c r="L42" s="60">
        <f t="shared" si="3"/>
        <v>0</v>
      </c>
      <c r="M42" s="60">
        <f t="shared" si="3"/>
        <v>0</v>
      </c>
      <c r="O42" s="3"/>
    </row>
    <row r="43" spans="2:15" x14ac:dyDescent="0.3">
      <c r="B43" s="3" t="s">
        <v>115</v>
      </c>
      <c r="I43" s="113"/>
      <c r="J43" s="113"/>
      <c r="K43" s="113"/>
      <c r="L43" s="113"/>
      <c r="M43" s="113"/>
    </row>
    <row r="44" spans="2:15" x14ac:dyDescent="0.3">
      <c r="B44" s="3" t="s">
        <v>114</v>
      </c>
      <c r="I44" s="63">
        <f t="shared" ref="I44:M44" si="4">IF(I43&lt;I42, I43,I42)</f>
        <v>0</v>
      </c>
      <c r="J44" s="63">
        <f t="shared" si="4"/>
        <v>0</v>
      </c>
      <c r="K44" s="63">
        <f t="shared" si="4"/>
        <v>0</v>
      </c>
      <c r="L44" s="63">
        <f t="shared" si="4"/>
        <v>0</v>
      </c>
      <c r="M44" s="63">
        <f t="shared" si="4"/>
        <v>0</v>
      </c>
    </row>
    <row r="45" spans="2:15" x14ac:dyDescent="0.3">
      <c r="B45" s="3" t="s">
        <v>118</v>
      </c>
      <c r="I45" s="60">
        <f>IF(I43&lt;I40,I40-I43,0)</f>
        <v>0</v>
      </c>
      <c r="J45" s="60">
        <f t="shared" ref="J45:M45" si="5">IF(J43&lt;J40,J40-J43,0)</f>
        <v>0</v>
      </c>
      <c r="K45" s="60">
        <f t="shared" si="5"/>
        <v>0</v>
      </c>
      <c r="L45" s="60">
        <f t="shared" si="5"/>
        <v>0</v>
      </c>
      <c r="M45" s="60">
        <f t="shared" si="5"/>
        <v>0</v>
      </c>
    </row>
    <row r="46" spans="2:15" x14ac:dyDescent="0.3">
      <c r="B46" s="3"/>
    </row>
  </sheetData>
  <mergeCells count="9">
    <mergeCell ref="D2:F2"/>
    <mergeCell ref="D3:F3"/>
    <mergeCell ref="I36:M36"/>
    <mergeCell ref="I17:M17"/>
    <mergeCell ref="F6:F7"/>
    <mergeCell ref="D6:D7"/>
    <mergeCell ref="E6:E7"/>
    <mergeCell ref="D28:G28"/>
    <mergeCell ref="D17:G17"/>
  </mergeCells>
  <pageMargins left="0.70866141732283472" right="0.70866141732283472" top="0.74803149606299213" bottom="0.74803149606299213" header="0.31496062992125984" footer="0.31496062992125984"/>
  <pageSetup paperSize="9" scale="91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2:N43"/>
  <sheetViews>
    <sheetView showGridLines="0" topLeftCell="A10" zoomScale="90" zoomScaleNormal="90" workbookViewId="0">
      <selection activeCell="T21" sqref="T21"/>
    </sheetView>
  </sheetViews>
  <sheetFormatPr defaultColWidth="8.75" defaultRowHeight="15.75" outlineLevelRow="1" x14ac:dyDescent="0.3"/>
  <cols>
    <col min="1" max="1" width="4.625" customWidth="1"/>
    <col min="2" max="2" width="32.375" bestFit="1" customWidth="1"/>
    <col min="3" max="3" width="10.625" customWidth="1"/>
    <col min="4" max="4" width="2.625" customWidth="1"/>
    <col min="5" max="5" width="10.625" customWidth="1"/>
    <col min="6" max="6" width="2.625" customWidth="1"/>
    <col min="7" max="7" width="10.625" customWidth="1"/>
    <col min="8" max="8" width="0.875" customWidth="1"/>
    <col min="9" max="15" width="10.625" customWidth="1"/>
  </cols>
  <sheetData>
    <row r="2" spans="2:13" x14ac:dyDescent="0.3">
      <c r="B2" s="22" t="s">
        <v>62</v>
      </c>
      <c r="C2" s="94">
        <f>'A. Comptes de résultats'!D2</f>
        <v>0</v>
      </c>
      <c r="D2" s="94"/>
      <c r="E2" s="94"/>
      <c r="F2" s="94"/>
      <c r="G2" s="95"/>
    </row>
    <row r="3" spans="2:13" x14ac:dyDescent="0.3">
      <c r="B3" s="20" t="s">
        <v>63</v>
      </c>
      <c r="C3" s="92">
        <f>'A. Comptes de résultats'!D3</f>
        <v>44561</v>
      </c>
      <c r="D3" s="92"/>
      <c r="E3" s="92"/>
      <c r="F3" s="92"/>
      <c r="G3" s="93"/>
    </row>
    <row r="5" spans="2:13" x14ac:dyDescent="0.3">
      <c r="B5" s="110" t="s">
        <v>120</v>
      </c>
      <c r="C5" s="110"/>
      <c r="D5" s="110"/>
      <c r="E5" s="111"/>
      <c r="F5" s="111"/>
      <c r="G5" s="111"/>
      <c r="H5" s="111"/>
      <c r="I5" s="111"/>
      <c r="J5" s="111"/>
      <c r="K5" s="111"/>
      <c r="L5" s="111"/>
      <c r="M5" s="111"/>
    </row>
    <row r="6" spans="2:13" x14ac:dyDescent="0.3">
      <c r="B6" s="3" t="s">
        <v>0</v>
      </c>
      <c r="C6" s="91" t="s">
        <v>66</v>
      </c>
      <c r="D6" s="91"/>
      <c r="E6" s="91"/>
      <c r="F6" s="91"/>
      <c r="G6" s="91"/>
      <c r="H6" s="48"/>
      <c r="I6" s="98" t="s">
        <v>65</v>
      </c>
      <c r="J6" s="91"/>
      <c r="K6" s="91"/>
      <c r="L6" s="91"/>
      <c r="M6" s="91"/>
    </row>
    <row r="7" spans="2:13" x14ac:dyDescent="0.3">
      <c r="B7" s="6"/>
      <c r="C7" s="6">
        <f>YEAR('A. Comptes de résultats'!E7)</f>
        <v>2019</v>
      </c>
      <c r="D7" s="6"/>
      <c r="E7" s="6">
        <f>YEAR('A. Comptes de résultats'!F7)</f>
        <v>2020</v>
      </c>
      <c r="F7" s="6"/>
      <c r="G7" s="6">
        <f>YEAR('A. Comptes de résultats'!G7)</f>
        <v>2021</v>
      </c>
      <c r="H7" s="29"/>
      <c r="I7" s="6">
        <f>YEAR('A. Comptes de résultats'!I7)</f>
        <v>2022</v>
      </c>
      <c r="J7" s="6">
        <f>YEAR('A. Comptes de résultats'!J7)</f>
        <v>2023</v>
      </c>
      <c r="K7" s="6">
        <f>YEAR('A. Comptes de résultats'!K7)</f>
        <v>2024</v>
      </c>
      <c r="L7" s="6">
        <f>YEAR('A. Comptes de résultats'!L7)</f>
        <v>2025</v>
      </c>
      <c r="M7" s="6">
        <f>YEAR('A. Comptes de résultats'!M7)</f>
        <v>2026</v>
      </c>
    </row>
    <row r="8" spans="2:13" x14ac:dyDescent="0.3">
      <c r="B8" t="s">
        <v>91</v>
      </c>
      <c r="C8" s="60">
        <f>'A. Comptes de résultats'!E34</f>
        <v>0</v>
      </c>
      <c r="D8" s="60"/>
      <c r="E8" s="60">
        <f>'A. Comptes de résultats'!F34</f>
        <v>0</v>
      </c>
      <c r="F8" s="60"/>
      <c r="G8" s="60">
        <f>'A. Comptes de résultats'!G34</f>
        <v>0</v>
      </c>
      <c r="H8" s="29"/>
      <c r="I8" s="60">
        <f>'A. Comptes de résultats'!I34</f>
        <v>0</v>
      </c>
      <c r="J8" s="60">
        <f>'A. Comptes de résultats'!J34</f>
        <v>0</v>
      </c>
      <c r="K8" s="60">
        <f>'A. Comptes de résultats'!K34</f>
        <v>0</v>
      </c>
      <c r="L8" s="60">
        <f>'A. Comptes de résultats'!L34</f>
        <v>0</v>
      </c>
      <c r="M8" s="60">
        <f>'A. Comptes de résultats'!M34</f>
        <v>0</v>
      </c>
    </row>
    <row r="9" spans="2:13" x14ac:dyDescent="0.3">
      <c r="B9" s="1" t="s">
        <v>121</v>
      </c>
      <c r="C9" s="60">
        <f>-'A. Comptes de résultats'!E25</f>
        <v>0</v>
      </c>
      <c r="D9" s="66"/>
      <c r="E9" s="60">
        <f>-'A. Comptes de résultats'!F25</f>
        <v>0</v>
      </c>
      <c r="F9" s="60"/>
      <c r="G9" s="60">
        <f>-'A. Comptes de résultats'!G25</f>
        <v>0</v>
      </c>
      <c r="H9" s="29"/>
      <c r="I9" s="60">
        <f>-'A. Comptes de résultats'!I25</f>
        <v>0</v>
      </c>
      <c r="J9" s="60">
        <f>-'A. Comptes de résultats'!J25</f>
        <v>0</v>
      </c>
      <c r="K9" s="60">
        <f>-'A. Comptes de résultats'!K25</f>
        <v>0</v>
      </c>
      <c r="L9" s="60">
        <f>-'A. Comptes de résultats'!L25</f>
        <v>0</v>
      </c>
      <c r="M9" s="60">
        <f>-'A. Comptes de résultats'!M25</f>
        <v>0</v>
      </c>
    </row>
    <row r="10" spans="2:13" x14ac:dyDescent="0.3">
      <c r="B10" s="1" t="s">
        <v>122</v>
      </c>
      <c r="C10" s="60">
        <f>-'A. Comptes de résultats'!E29</f>
        <v>0</v>
      </c>
      <c r="D10" s="66"/>
      <c r="E10" s="60">
        <f>-'A. Comptes de résultats'!F29</f>
        <v>0</v>
      </c>
      <c r="F10" s="60"/>
      <c r="G10" s="60">
        <f>-'A. Comptes de résultats'!G29</f>
        <v>0</v>
      </c>
      <c r="H10" s="29"/>
      <c r="I10" s="60">
        <f>-'A. Comptes de résultats'!I29</f>
        <v>0</v>
      </c>
      <c r="J10" s="60">
        <f>-'A. Comptes de résultats'!J29</f>
        <v>0</v>
      </c>
      <c r="K10" s="60">
        <f>-'A. Comptes de résultats'!K29</f>
        <v>0</v>
      </c>
      <c r="L10" s="60">
        <f>-'A. Comptes de résultats'!L29</f>
        <v>0</v>
      </c>
      <c r="M10" s="60">
        <f>-'A. Comptes de résultats'!M29</f>
        <v>0</v>
      </c>
    </row>
    <row r="11" spans="2:13" outlineLevel="1" x14ac:dyDescent="0.3">
      <c r="B11" s="1" t="s">
        <v>123</v>
      </c>
      <c r="C11" s="60">
        <f>'B. Bilan'!C11-'B. Bilan'!D11</f>
        <v>0</v>
      </c>
      <c r="D11" s="66"/>
      <c r="E11" s="60">
        <f>'B. Bilan'!D11-'B. Bilan'!E11</f>
        <v>0</v>
      </c>
      <c r="F11" s="60"/>
      <c r="G11" s="60">
        <f>'B. Bilan'!E11-'B. Bilan'!F11</f>
        <v>0</v>
      </c>
      <c r="H11" s="29"/>
      <c r="I11" s="60">
        <f>'B. Bilan'!F11-'B. Bilan'!H11</f>
        <v>0</v>
      </c>
      <c r="J11" s="60">
        <f>'B. Bilan'!H11-'B. Bilan'!I11</f>
        <v>0</v>
      </c>
      <c r="K11" s="60">
        <f>'B. Bilan'!I11-'B. Bilan'!J11</f>
        <v>0</v>
      </c>
      <c r="L11" s="60">
        <f>'B. Bilan'!J11-'B. Bilan'!K11</f>
        <v>0</v>
      </c>
      <c r="M11" s="60">
        <f>'B. Bilan'!K11-'B. Bilan'!L11</f>
        <v>0</v>
      </c>
    </row>
    <row r="12" spans="2:13" outlineLevel="1" x14ac:dyDescent="0.3">
      <c r="B12" s="1" t="s">
        <v>125</v>
      </c>
      <c r="C12" s="60">
        <f>'B. Bilan'!C12-'B. Bilan'!D12</f>
        <v>0</v>
      </c>
      <c r="D12" s="66"/>
      <c r="E12" s="60">
        <f>'B. Bilan'!D12-'B. Bilan'!E12</f>
        <v>0</v>
      </c>
      <c r="F12" s="60"/>
      <c r="G12" s="60">
        <f>'B. Bilan'!E12-'B. Bilan'!F12</f>
        <v>0</v>
      </c>
      <c r="H12" s="29"/>
      <c r="I12" s="60">
        <f>'B. Bilan'!F12-'B. Bilan'!H12</f>
        <v>0</v>
      </c>
      <c r="J12" s="60">
        <f>'B. Bilan'!H12-'B. Bilan'!I12</f>
        <v>0</v>
      </c>
      <c r="K12" s="60">
        <f>'B. Bilan'!I12-'B. Bilan'!J12</f>
        <v>0</v>
      </c>
      <c r="L12" s="60">
        <f>'B. Bilan'!J12-'B. Bilan'!K12</f>
        <v>0</v>
      </c>
      <c r="M12" s="60">
        <f>'B. Bilan'!K12-'B. Bilan'!L12</f>
        <v>0</v>
      </c>
    </row>
    <row r="13" spans="2:13" outlineLevel="1" x14ac:dyDescent="0.3">
      <c r="B13" s="1" t="s">
        <v>126</v>
      </c>
      <c r="C13" s="60">
        <f>'B. Bilan'!C13-'B. Bilan'!D13</f>
        <v>0</v>
      </c>
      <c r="D13" s="66"/>
      <c r="E13" s="60">
        <f>'B. Bilan'!D13-'B. Bilan'!E13</f>
        <v>0</v>
      </c>
      <c r="F13" s="60"/>
      <c r="G13" s="60">
        <f>'B. Bilan'!E13-'B. Bilan'!F13</f>
        <v>0</v>
      </c>
      <c r="H13" s="29"/>
      <c r="I13" s="60">
        <f>'B. Bilan'!F13-'B. Bilan'!H13</f>
        <v>0</v>
      </c>
      <c r="J13" s="60">
        <f>'B. Bilan'!H13-'B. Bilan'!I13</f>
        <v>0</v>
      </c>
      <c r="K13" s="60">
        <f>'B. Bilan'!I13-'B. Bilan'!J13</f>
        <v>0</v>
      </c>
      <c r="L13" s="60">
        <f>'B. Bilan'!J13-'B. Bilan'!K13</f>
        <v>0</v>
      </c>
      <c r="M13" s="60">
        <f>'B. Bilan'!K13-'B. Bilan'!L13</f>
        <v>0</v>
      </c>
    </row>
    <row r="14" spans="2:13" outlineLevel="1" x14ac:dyDescent="0.3">
      <c r="B14" s="1" t="s">
        <v>127</v>
      </c>
      <c r="C14" s="60">
        <f>'B. Bilan'!C14-'B. Bilan'!D14</f>
        <v>0</v>
      </c>
      <c r="D14" s="66"/>
      <c r="E14" s="60">
        <f>'B. Bilan'!D14-'B. Bilan'!E14</f>
        <v>0</v>
      </c>
      <c r="F14" s="60"/>
      <c r="G14" s="60">
        <f>'B. Bilan'!E14-'B. Bilan'!F14</f>
        <v>0</v>
      </c>
      <c r="H14" s="29"/>
      <c r="I14" s="60">
        <f>'B. Bilan'!F14-'B. Bilan'!H14</f>
        <v>0</v>
      </c>
      <c r="J14" s="60">
        <f>'B. Bilan'!H14-'B. Bilan'!I14</f>
        <v>0</v>
      </c>
      <c r="K14" s="60">
        <f>'B. Bilan'!I14-'B. Bilan'!J14</f>
        <v>0</v>
      </c>
      <c r="L14" s="60">
        <f>'B. Bilan'!J14-'B. Bilan'!K14</f>
        <v>0</v>
      </c>
      <c r="M14" s="60">
        <f>'B. Bilan'!K14-'B. Bilan'!L14</f>
        <v>0</v>
      </c>
    </row>
    <row r="15" spans="2:13" outlineLevel="1" x14ac:dyDescent="0.3">
      <c r="B15" s="1" t="s">
        <v>128</v>
      </c>
      <c r="C15" s="60">
        <f>'B. Bilan'!C15-'B. Bilan'!D15</f>
        <v>0</v>
      </c>
      <c r="D15" s="66"/>
      <c r="E15" s="60">
        <f>'B. Bilan'!D15-'B. Bilan'!E15</f>
        <v>0</v>
      </c>
      <c r="F15" s="60"/>
      <c r="G15" s="60">
        <f>'B. Bilan'!E15-'B. Bilan'!F15</f>
        <v>0</v>
      </c>
      <c r="H15" s="29"/>
      <c r="I15" s="60">
        <f>'B. Bilan'!F15-'B. Bilan'!H15</f>
        <v>0</v>
      </c>
      <c r="J15" s="60">
        <f>'B. Bilan'!H15-'B. Bilan'!I15</f>
        <v>0</v>
      </c>
      <c r="K15" s="60">
        <f>'B. Bilan'!I15-'B. Bilan'!J15</f>
        <v>0</v>
      </c>
      <c r="L15" s="60">
        <f>'B. Bilan'!J15-'B. Bilan'!K15</f>
        <v>0</v>
      </c>
      <c r="M15" s="60">
        <f>'B. Bilan'!K15-'B. Bilan'!L15</f>
        <v>0</v>
      </c>
    </row>
    <row r="16" spans="2:13" outlineLevel="1" x14ac:dyDescent="0.3">
      <c r="B16" s="1" t="s">
        <v>132</v>
      </c>
      <c r="C16" s="60">
        <f>'B. Bilan'!C17-'B. Bilan'!D17</f>
        <v>0</v>
      </c>
      <c r="D16" s="66"/>
      <c r="E16" s="60">
        <f>'B. Bilan'!D17-'B. Bilan'!E17</f>
        <v>0</v>
      </c>
      <c r="F16" s="60"/>
      <c r="G16" s="60">
        <f>'B. Bilan'!E17-'B. Bilan'!F17</f>
        <v>0</v>
      </c>
      <c r="H16" s="29"/>
      <c r="I16" s="60">
        <f>'B. Bilan'!F17-'B. Bilan'!H17</f>
        <v>0</v>
      </c>
      <c r="J16" s="60">
        <f>'B. Bilan'!H17-'B. Bilan'!I17</f>
        <v>0</v>
      </c>
      <c r="K16" s="60">
        <f>'B. Bilan'!I17-'B. Bilan'!J17</f>
        <v>0</v>
      </c>
      <c r="L16" s="60">
        <f>'B. Bilan'!J17-'B. Bilan'!K17</f>
        <v>0</v>
      </c>
      <c r="M16" s="60">
        <f>'B. Bilan'!K17-'B. Bilan'!L17</f>
        <v>0</v>
      </c>
    </row>
    <row r="17" spans="2:13" outlineLevel="1" x14ac:dyDescent="0.3">
      <c r="B17" s="1" t="s">
        <v>129</v>
      </c>
      <c r="C17" s="60">
        <f>'B. Bilan'!D27-'B. Bilan'!C27</f>
        <v>0</v>
      </c>
      <c r="D17" s="66"/>
      <c r="E17" s="60">
        <f>'B. Bilan'!E27-'B. Bilan'!D27</f>
        <v>0</v>
      </c>
      <c r="F17" s="60"/>
      <c r="G17" s="60">
        <f>'B. Bilan'!F27-'B. Bilan'!E27</f>
        <v>0</v>
      </c>
      <c r="H17" s="29"/>
      <c r="I17" s="60">
        <f>'B. Bilan'!H27-'B. Bilan'!F27</f>
        <v>0</v>
      </c>
      <c r="J17" s="60">
        <f>'B. Bilan'!I27-'B. Bilan'!H27</f>
        <v>0</v>
      </c>
      <c r="K17" s="60">
        <f>'B. Bilan'!J27-'B. Bilan'!I27</f>
        <v>0</v>
      </c>
      <c r="L17" s="60">
        <f>'B. Bilan'!K27-'B. Bilan'!J27</f>
        <v>0</v>
      </c>
      <c r="M17" s="60">
        <f>'B. Bilan'!L27-'B. Bilan'!K27</f>
        <v>0</v>
      </c>
    </row>
    <row r="18" spans="2:13" outlineLevel="1" x14ac:dyDescent="0.3">
      <c r="B18" s="1" t="s">
        <v>130</v>
      </c>
      <c r="C18" s="60">
        <f>'B. Bilan'!D28-'B. Bilan'!C28</f>
        <v>0</v>
      </c>
      <c r="D18" s="66"/>
      <c r="E18" s="60">
        <f>'B. Bilan'!E28-'B. Bilan'!D28</f>
        <v>0</v>
      </c>
      <c r="F18" s="60"/>
      <c r="G18" s="60">
        <f>'B. Bilan'!F28-'B. Bilan'!E28</f>
        <v>0</v>
      </c>
      <c r="H18" s="29"/>
      <c r="I18" s="60">
        <f>'B. Bilan'!H28-'B. Bilan'!F28</f>
        <v>0</v>
      </c>
      <c r="J18" s="60">
        <f>'B. Bilan'!I28-'B. Bilan'!H28</f>
        <v>0</v>
      </c>
      <c r="K18" s="60">
        <f>'B. Bilan'!J28-'B. Bilan'!I28</f>
        <v>0</v>
      </c>
      <c r="L18" s="60">
        <f>'B. Bilan'!K28-'B. Bilan'!J28</f>
        <v>0</v>
      </c>
      <c r="M18" s="60">
        <f>'B. Bilan'!L28-'B. Bilan'!K28</f>
        <v>0</v>
      </c>
    </row>
    <row r="19" spans="2:13" outlineLevel="1" x14ac:dyDescent="0.3">
      <c r="B19" s="1" t="s">
        <v>131</v>
      </c>
      <c r="C19" s="60">
        <f>'B. Bilan'!D29-'B. Bilan'!C29</f>
        <v>0</v>
      </c>
      <c r="D19" s="66"/>
      <c r="E19" s="60">
        <f>'B. Bilan'!E29-'B. Bilan'!D29</f>
        <v>0</v>
      </c>
      <c r="F19" s="60"/>
      <c r="G19" s="60">
        <f>'B. Bilan'!F29-'B. Bilan'!E29</f>
        <v>0</v>
      </c>
      <c r="H19" s="29"/>
      <c r="I19" s="60">
        <f>'B. Bilan'!H29-'B. Bilan'!F29</f>
        <v>0</v>
      </c>
      <c r="J19" s="60">
        <f>'B. Bilan'!I29-'B. Bilan'!H29</f>
        <v>0</v>
      </c>
      <c r="K19" s="60">
        <f>'B. Bilan'!J29-'B. Bilan'!I29</f>
        <v>0</v>
      </c>
      <c r="L19" s="60">
        <f>'B. Bilan'!K29-'B. Bilan'!J29</f>
        <v>0</v>
      </c>
      <c r="M19" s="60">
        <f>'B. Bilan'!L29-'B. Bilan'!K29</f>
        <v>0</v>
      </c>
    </row>
    <row r="20" spans="2:13" outlineLevel="1" x14ac:dyDescent="0.3">
      <c r="B20" s="1" t="s">
        <v>134</v>
      </c>
      <c r="C20" s="60">
        <f>'B. Bilan'!D31-'B. Bilan'!C31</f>
        <v>0</v>
      </c>
      <c r="D20" s="66"/>
      <c r="E20" s="60">
        <f>'B. Bilan'!E31-'B. Bilan'!D31</f>
        <v>0</v>
      </c>
      <c r="F20" s="60"/>
      <c r="G20" s="60">
        <f>'B. Bilan'!F31-'B. Bilan'!E31</f>
        <v>0</v>
      </c>
      <c r="H20" s="29"/>
      <c r="I20" s="60">
        <f>'B. Bilan'!H31-'B. Bilan'!F31</f>
        <v>0</v>
      </c>
      <c r="J20" s="60">
        <f>'B. Bilan'!I31-'B. Bilan'!H31</f>
        <v>0</v>
      </c>
      <c r="K20" s="60">
        <f>'B. Bilan'!J31-'B. Bilan'!I31</f>
        <v>0</v>
      </c>
      <c r="L20" s="60">
        <f>'B. Bilan'!K31-'B. Bilan'!J31</f>
        <v>0</v>
      </c>
      <c r="M20" s="60">
        <f>'B. Bilan'!L31-'B. Bilan'!K31</f>
        <v>0</v>
      </c>
    </row>
    <row r="21" spans="2:13" x14ac:dyDescent="0.3">
      <c r="B21" s="1" t="s">
        <v>185</v>
      </c>
      <c r="C21" s="60">
        <f>SUM(C11:C20)</f>
        <v>0</v>
      </c>
      <c r="D21" s="66"/>
      <c r="E21" s="60">
        <f>SUM(E11:E20)</f>
        <v>0</v>
      </c>
      <c r="F21" s="60"/>
      <c r="G21" s="60">
        <f>SUM(G11:G20)</f>
        <v>0</v>
      </c>
      <c r="H21" s="29"/>
      <c r="I21" s="60">
        <f>SUM(I11:I20)</f>
        <v>0</v>
      </c>
      <c r="J21" s="60">
        <f t="shared" ref="J21" si="0">SUM(J11:J20)</f>
        <v>0</v>
      </c>
      <c r="K21" s="60">
        <f t="shared" ref="K21" si="1">SUM(K11:K20)</f>
        <v>0</v>
      </c>
      <c r="L21" s="60">
        <f t="shared" ref="L21:M21" si="2">SUM(L11:L20)</f>
        <v>0</v>
      </c>
      <c r="M21" s="60">
        <f t="shared" si="2"/>
        <v>0</v>
      </c>
    </row>
    <row r="22" spans="2:13" x14ac:dyDescent="0.3">
      <c r="B22" s="1" t="s">
        <v>135</v>
      </c>
      <c r="C22" s="60">
        <f>'B. Bilan'!D34-'B. Bilan'!C34</f>
        <v>0</v>
      </c>
      <c r="D22" s="66"/>
      <c r="E22" s="60">
        <f>'B. Bilan'!E34-'B. Bilan'!D34</f>
        <v>0</v>
      </c>
      <c r="F22" s="60"/>
      <c r="G22" s="60">
        <f>'B. Bilan'!F34-'B. Bilan'!E34</f>
        <v>0</v>
      </c>
      <c r="H22" s="29"/>
      <c r="I22" s="60">
        <f>'B. Bilan'!H34-'B. Bilan'!F34</f>
        <v>0</v>
      </c>
      <c r="J22" s="60">
        <f>'B. Bilan'!I34-'B. Bilan'!H34</f>
        <v>0</v>
      </c>
      <c r="K22" s="60">
        <f>'B. Bilan'!J34-'B. Bilan'!I34</f>
        <v>0</v>
      </c>
      <c r="L22" s="60">
        <f>'B. Bilan'!K34-'B. Bilan'!J34</f>
        <v>0</v>
      </c>
      <c r="M22" s="60">
        <f>'B. Bilan'!L34-'B. Bilan'!K34</f>
        <v>0</v>
      </c>
    </row>
    <row r="23" spans="2:13" s="2" customFormat="1" ht="13.5" x14ac:dyDescent="0.2">
      <c r="B23" s="2" t="s">
        <v>146</v>
      </c>
      <c r="C23" s="62">
        <f>C8+C9+C10+C21+C22</f>
        <v>0</v>
      </c>
      <c r="D23" s="62"/>
      <c r="E23" s="62">
        <f>E8+E9+E10+E21+E22</f>
        <v>0</v>
      </c>
      <c r="F23" s="62"/>
      <c r="G23" s="62">
        <f>G8+G9+G10+G21+G22</f>
        <v>0</v>
      </c>
      <c r="H23" s="30"/>
      <c r="I23" s="62">
        <f>I8+I9+I10+I21+I22</f>
        <v>0</v>
      </c>
      <c r="J23" s="62">
        <f t="shared" ref="J23:M23" si="3">J8+J9+J10+J21+J22</f>
        <v>0</v>
      </c>
      <c r="K23" s="62">
        <f t="shared" si="3"/>
        <v>0</v>
      </c>
      <c r="L23" s="62">
        <f t="shared" si="3"/>
        <v>0</v>
      </c>
      <c r="M23" s="62">
        <f t="shared" si="3"/>
        <v>0</v>
      </c>
    </row>
    <row r="24" spans="2:13" x14ac:dyDescent="0.3">
      <c r="H24" s="29"/>
    </row>
    <row r="25" spans="2:13" x14ac:dyDescent="0.3">
      <c r="B25" t="s">
        <v>136</v>
      </c>
      <c r="C25" s="60">
        <f>'B. Bilan'!D24-'B. Bilan'!C24-'A. Comptes de résultats'!E25</f>
        <v>0</v>
      </c>
      <c r="D25" s="60"/>
      <c r="E25" s="60">
        <f>'B. Bilan'!E24-'B. Bilan'!D24-'A. Comptes de résultats'!F25</f>
        <v>0</v>
      </c>
      <c r="F25" s="60"/>
      <c r="G25" s="60">
        <f>'B. Bilan'!F24-'B. Bilan'!E24-'A. Comptes de résultats'!G25</f>
        <v>0</v>
      </c>
      <c r="H25" s="29"/>
      <c r="I25" s="60">
        <f>'B. Bilan'!H24-'B. Bilan'!F24-'A. Comptes de résultats'!I25</f>
        <v>0</v>
      </c>
      <c r="J25" s="60">
        <f>'B. Bilan'!I24-'B. Bilan'!H24-'A. Comptes de résultats'!J25</f>
        <v>0</v>
      </c>
      <c r="K25" s="60">
        <f>'B. Bilan'!J24-'B. Bilan'!I24-'A. Comptes de résultats'!K25</f>
        <v>0</v>
      </c>
      <c r="L25" s="60">
        <f>'B. Bilan'!K24-'B. Bilan'!J24-'A. Comptes de résultats'!L25</f>
        <v>0</v>
      </c>
      <c r="M25" s="60">
        <f>'B. Bilan'!L24-'B. Bilan'!K24-'A. Comptes de résultats'!M25</f>
        <v>0</v>
      </c>
    </row>
    <row r="26" spans="2:13" s="2" customFormat="1" ht="13.5" x14ac:dyDescent="0.2">
      <c r="B26" s="2" t="s">
        <v>147</v>
      </c>
      <c r="C26" s="62">
        <f>-C25</f>
        <v>0</v>
      </c>
      <c r="D26" s="62"/>
      <c r="E26" s="62">
        <f>-E25</f>
        <v>0</v>
      </c>
      <c r="F26" s="62"/>
      <c r="G26" s="62">
        <f>-G25</f>
        <v>0</v>
      </c>
      <c r="H26" s="30"/>
      <c r="I26" s="62">
        <f>-I25</f>
        <v>0</v>
      </c>
      <c r="J26" s="62">
        <f t="shared" ref="J26:M26" si="4">-J25</f>
        <v>0</v>
      </c>
      <c r="K26" s="62">
        <f t="shared" si="4"/>
        <v>0</v>
      </c>
      <c r="L26" s="62">
        <f t="shared" si="4"/>
        <v>0</v>
      </c>
      <c r="M26" s="62">
        <f t="shared" si="4"/>
        <v>0</v>
      </c>
    </row>
    <row r="27" spans="2:13" x14ac:dyDescent="0.3">
      <c r="H27" s="29"/>
    </row>
    <row r="28" spans="2:13" s="2" customFormat="1" ht="13.5" x14ac:dyDescent="0.2">
      <c r="B28" s="2" t="s">
        <v>4</v>
      </c>
      <c r="C28" s="62">
        <f>C23+C26</f>
        <v>0</v>
      </c>
      <c r="D28" s="62"/>
      <c r="E28" s="62">
        <f>E23+E26</f>
        <v>0</v>
      </c>
      <c r="F28" s="62"/>
      <c r="G28" s="62">
        <f>G23+G26</f>
        <v>0</v>
      </c>
      <c r="H28" s="30"/>
      <c r="I28" s="62">
        <f>I23+I26</f>
        <v>0</v>
      </c>
      <c r="J28" s="62">
        <f t="shared" ref="J28:M28" si="5">J23+J26</f>
        <v>0</v>
      </c>
      <c r="K28" s="62">
        <f t="shared" si="5"/>
        <v>0</v>
      </c>
      <c r="L28" s="62">
        <f t="shared" si="5"/>
        <v>0</v>
      </c>
      <c r="M28" s="62">
        <f t="shared" si="5"/>
        <v>0</v>
      </c>
    </row>
    <row r="29" spans="2:13" x14ac:dyDescent="0.3">
      <c r="B29" s="1" t="s">
        <v>137</v>
      </c>
      <c r="C29" s="60">
        <f>-C10</f>
        <v>0</v>
      </c>
      <c r="D29" s="66"/>
      <c r="E29" s="60">
        <f>-E10</f>
        <v>0</v>
      </c>
      <c r="F29" s="60"/>
      <c r="G29" s="60">
        <f>-G10</f>
        <v>0</v>
      </c>
      <c r="H29" s="29"/>
      <c r="I29" s="60">
        <f>-I10</f>
        <v>0</v>
      </c>
      <c r="J29" s="60">
        <f t="shared" ref="J29:M29" si="6">-J10</f>
        <v>0</v>
      </c>
      <c r="K29" s="60">
        <f t="shared" si="6"/>
        <v>0</v>
      </c>
      <c r="L29" s="60">
        <f t="shared" si="6"/>
        <v>0</v>
      </c>
      <c r="M29" s="60">
        <f t="shared" si="6"/>
        <v>0</v>
      </c>
    </row>
    <row r="30" spans="2:13" x14ac:dyDescent="0.3">
      <c r="B30" s="1" t="s">
        <v>143</v>
      </c>
      <c r="C30" s="60">
        <f>'B. Bilan'!C16-'B. Bilan'!D16</f>
        <v>0</v>
      </c>
      <c r="D30" s="66"/>
      <c r="E30" s="60">
        <f>'B. Bilan'!D16-'B. Bilan'!E16</f>
        <v>0</v>
      </c>
      <c r="F30" s="60"/>
      <c r="G30" s="60">
        <f>'B. Bilan'!E16-'B. Bilan'!F16</f>
        <v>0</v>
      </c>
      <c r="H30" s="29"/>
      <c r="I30" s="60">
        <f>'B. Bilan'!F16-'B. Bilan'!H16</f>
        <v>0</v>
      </c>
      <c r="J30" s="60">
        <f>'B. Bilan'!H16-'B. Bilan'!I16</f>
        <v>0</v>
      </c>
      <c r="K30" s="60">
        <f>'B. Bilan'!I16-'B. Bilan'!J16</f>
        <v>0</v>
      </c>
      <c r="L30" s="60">
        <f>'B. Bilan'!J16-'B. Bilan'!K16</f>
        <v>0</v>
      </c>
      <c r="M30" s="60">
        <f>'B. Bilan'!K16-'B. Bilan'!L16</f>
        <v>0</v>
      </c>
    </row>
    <row r="31" spans="2:13" x14ac:dyDescent="0.3">
      <c r="B31" s="1" t="s">
        <v>142</v>
      </c>
      <c r="C31" s="60">
        <f>'B. Bilan'!D37-'B. Bilan'!C37</f>
        <v>0</v>
      </c>
      <c r="D31" s="66"/>
      <c r="E31" s="60">
        <f>'B. Bilan'!E37-'B. Bilan'!D37</f>
        <v>0</v>
      </c>
      <c r="F31" s="60"/>
      <c r="G31" s="60">
        <f>'B. Bilan'!F37-'B. Bilan'!E37</f>
        <v>0</v>
      </c>
      <c r="H31" s="29"/>
      <c r="I31" s="60">
        <f>'B. Bilan'!H37-'B. Bilan'!F37</f>
        <v>0</v>
      </c>
      <c r="J31" s="60">
        <f>'B. Bilan'!I37-'B. Bilan'!H37</f>
        <v>0</v>
      </c>
      <c r="K31" s="60">
        <f>'B. Bilan'!J37-'B. Bilan'!I37</f>
        <v>0</v>
      </c>
      <c r="L31" s="60">
        <f>'B. Bilan'!K37-'B. Bilan'!J37</f>
        <v>0</v>
      </c>
      <c r="M31" s="60">
        <f>'B. Bilan'!L37-'B. Bilan'!K37</f>
        <v>0</v>
      </c>
    </row>
    <row r="32" spans="2:13" x14ac:dyDescent="0.3">
      <c r="B32" s="1" t="s">
        <v>141</v>
      </c>
      <c r="C32" s="60">
        <f>'B. Bilan'!D30-'B. Bilan'!C30</f>
        <v>0</v>
      </c>
      <c r="D32" s="66"/>
      <c r="E32" s="60">
        <f>'B. Bilan'!E30-'B. Bilan'!D30</f>
        <v>0</v>
      </c>
      <c r="F32" s="60"/>
      <c r="G32" s="60">
        <f>'B. Bilan'!F30-'B. Bilan'!E30</f>
        <v>0</v>
      </c>
      <c r="H32" s="29"/>
      <c r="I32" s="60">
        <f>'B. Bilan'!H30-'B. Bilan'!F30</f>
        <v>0</v>
      </c>
      <c r="J32" s="60">
        <f>'B. Bilan'!I30-'B. Bilan'!H30</f>
        <v>0</v>
      </c>
      <c r="K32" s="60">
        <f>'B. Bilan'!J30-'B. Bilan'!I30</f>
        <v>0</v>
      </c>
      <c r="L32" s="60">
        <f>'B. Bilan'!K30-'B. Bilan'!J30</f>
        <v>0</v>
      </c>
      <c r="M32" s="60">
        <f>'B. Bilan'!L30-'B. Bilan'!K30</f>
        <v>0</v>
      </c>
    </row>
    <row r="33" spans="2:14" x14ac:dyDescent="0.3">
      <c r="B33" s="1" t="s">
        <v>140</v>
      </c>
      <c r="C33" s="60">
        <f>'B. Bilan'!D35-'B. Bilan'!C35</f>
        <v>0</v>
      </c>
      <c r="D33" s="66"/>
      <c r="E33" s="60">
        <f>'B. Bilan'!E35-'B. Bilan'!D35</f>
        <v>0</v>
      </c>
      <c r="F33" s="60"/>
      <c r="G33" s="60">
        <f>'B. Bilan'!F35-'B. Bilan'!E35</f>
        <v>0</v>
      </c>
      <c r="H33" s="29"/>
      <c r="I33" s="60">
        <f>'B. Bilan'!H35-'B. Bilan'!F35</f>
        <v>0</v>
      </c>
      <c r="J33" s="60">
        <f>'B. Bilan'!I35-'B. Bilan'!H35</f>
        <v>0</v>
      </c>
      <c r="K33" s="60">
        <f>'B. Bilan'!J35-'B. Bilan'!I35</f>
        <v>0</v>
      </c>
      <c r="L33" s="60">
        <f>'B. Bilan'!K35-'B. Bilan'!J35</f>
        <v>0</v>
      </c>
      <c r="M33" s="60">
        <f>'B. Bilan'!L35-'B. Bilan'!K35</f>
        <v>0</v>
      </c>
    </row>
    <row r="34" spans="2:14" x14ac:dyDescent="0.3">
      <c r="B34" s="1" t="s">
        <v>139</v>
      </c>
      <c r="C34" s="60"/>
      <c r="D34" s="66"/>
      <c r="E34" s="60"/>
      <c r="F34" s="60"/>
      <c r="G34" s="60"/>
      <c r="H34" s="29"/>
      <c r="I34" s="60">
        <f>'B. Bilan'!H41-'B. Bilan'!F41</f>
        <v>0</v>
      </c>
      <c r="J34" s="60">
        <f>'B. Bilan'!I41-'B. Bilan'!H41</f>
        <v>0</v>
      </c>
      <c r="K34" s="60">
        <f>'B. Bilan'!J41-'B. Bilan'!I41</f>
        <v>0</v>
      </c>
      <c r="L34" s="60">
        <f>'B. Bilan'!K41-'B. Bilan'!J41</f>
        <v>0</v>
      </c>
      <c r="M34" s="60">
        <f>'B. Bilan'!L41-'B. Bilan'!K41</f>
        <v>0</v>
      </c>
    </row>
    <row r="35" spans="2:14" x14ac:dyDescent="0.3">
      <c r="B35" s="1" t="s">
        <v>138</v>
      </c>
      <c r="C35" s="60">
        <f>'B. Bilan'!D36-'B. Bilan'!C36</f>
        <v>0</v>
      </c>
      <c r="D35" s="66"/>
      <c r="E35" s="60">
        <f>'B. Bilan'!E36-'B. Bilan'!D36</f>
        <v>0</v>
      </c>
      <c r="F35" s="60"/>
      <c r="G35" s="60">
        <f>'B. Bilan'!F36-'B. Bilan'!E36</f>
        <v>0</v>
      </c>
      <c r="H35" s="29"/>
      <c r="I35" s="60">
        <f>'B. Bilan'!H36-'B. Bilan'!F36</f>
        <v>0</v>
      </c>
      <c r="J35" s="60">
        <f>'B. Bilan'!I36-'B. Bilan'!H36</f>
        <v>0</v>
      </c>
      <c r="K35" s="60">
        <f>'B. Bilan'!J36-'B. Bilan'!I36</f>
        <v>0</v>
      </c>
      <c r="L35" s="60">
        <f>'B. Bilan'!K36-'B. Bilan'!J36</f>
        <v>0</v>
      </c>
      <c r="M35" s="60">
        <f>'B. Bilan'!L36-'B. Bilan'!K36</f>
        <v>0</v>
      </c>
    </row>
    <row r="36" spans="2:14" x14ac:dyDescent="0.3">
      <c r="B36" s="1" t="s">
        <v>145</v>
      </c>
      <c r="C36" s="60">
        <f>'B. Bilan'!D38-'B. Bilan'!C38</f>
        <v>0</v>
      </c>
      <c r="D36" s="66"/>
      <c r="E36" s="60">
        <f>'B. Bilan'!E38-'B. Bilan'!D38</f>
        <v>0</v>
      </c>
      <c r="F36" s="60"/>
      <c r="G36" s="60">
        <f>'B. Bilan'!F38-'B. Bilan'!E38</f>
        <v>0</v>
      </c>
      <c r="H36" s="29"/>
      <c r="I36" s="60">
        <f>'B. Bilan'!H38-'B. Bilan'!F38</f>
        <v>0</v>
      </c>
      <c r="J36" s="60">
        <f>'B. Bilan'!I38-'B. Bilan'!H38</f>
        <v>0</v>
      </c>
      <c r="K36" s="60">
        <f>'B. Bilan'!J38-'B. Bilan'!I38</f>
        <v>0</v>
      </c>
      <c r="L36" s="60">
        <f>'B. Bilan'!K38-'B. Bilan'!J38</f>
        <v>0</v>
      </c>
      <c r="M36" s="60">
        <f>'B. Bilan'!L38-'B. Bilan'!K38</f>
        <v>0</v>
      </c>
    </row>
    <row r="37" spans="2:14" x14ac:dyDescent="0.3">
      <c r="B37" s="1" t="s">
        <v>186</v>
      </c>
      <c r="C37" s="60">
        <f>'B. Bilan'!D43-'B. Bilan'!C43</f>
        <v>0</v>
      </c>
      <c r="D37" s="66"/>
      <c r="E37" s="60">
        <f>'B. Bilan'!E43-'B. Bilan'!D43</f>
        <v>0</v>
      </c>
      <c r="F37" s="60"/>
      <c r="G37" s="60">
        <f>'B. Bilan'!F43-'B. Bilan'!E43</f>
        <v>0</v>
      </c>
      <c r="H37" s="29"/>
      <c r="I37" s="60">
        <f>'B. Bilan'!H43-'B. Bilan'!F43</f>
        <v>0</v>
      </c>
      <c r="J37" s="60">
        <f>'B. Bilan'!I43-'B. Bilan'!H43</f>
        <v>0</v>
      </c>
      <c r="K37" s="60">
        <f>'B. Bilan'!J43-'B. Bilan'!I43</f>
        <v>0</v>
      </c>
      <c r="L37" s="60">
        <f>'B. Bilan'!K43-'B. Bilan'!J43</f>
        <v>0</v>
      </c>
      <c r="M37" s="60">
        <f>'B. Bilan'!L43-'B. Bilan'!K43</f>
        <v>0</v>
      </c>
    </row>
    <row r="38" spans="2:14" x14ac:dyDescent="0.3">
      <c r="B38" s="1" t="s">
        <v>144</v>
      </c>
      <c r="C38" s="60">
        <f>'B. Bilan'!D44-'B. Bilan'!C44</f>
        <v>0</v>
      </c>
      <c r="D38" s="66"/>
      <c r="E38" s="60">
        <f>'B. Bilan'!E44-'B. Bilan'!D44</f>
        <v>0</v>
      </c>
      <c r="F38" s="60"/>
      <c r="G38" s="60">
        <f>'B. Bilan'!F44-'B. Bilan'!E44</f>
        <v>0</v>
      </c>
      <c r="H38" s="29"/>
      <c r="I38" s="60">
        <f>'B. Bilan'!H44-'B. Bilan'!F44</f>
        <v>0</v>
      </c>
      <c r="J38" s="60">
        <f>'B. Bilan'!I44-'B. Bilan'!H44</f>
        <v>0</v>
      </c>
      <c r="K38" s="60">
        <f>'B. Bilan'!J44-'B. Bilan'!I44</f>
        <v>0</v>
      </c>
      <c r="L38" s="60">
        <f>'B. Bilan'!K44-'B. Bilan'!J44</f>
        <v>0</v>
      </c>
      <c r="M38" s="60">
        <f>'B. Bilan'!L44-'B. Bilan'!K44</f>
        <v>0</v>
      </c>
    </row>
    <row r="39" spans="2:14" x14ac:dyDescent="0.3">
      <c r="B39" s="1" t="s">
        <v>5</v>
      </c>
      <c r="C39" s="60">
        <f>-('B. Bilan'!C45+'B. Bilan'!C46)+'B. Bilan'!D45</f>
        <v>0</v>
      </c>
      <c r="D39" s="66"/>
      <c r="E39" s="60">
        <f>-('B. Bilan'!D45+'B. Bilan'!D46)+'B. Bilan'!E45</f>
        <v>0</v>
      </c>
      <c r="F39" s="60"/>
      <c r="G39" s="60">
        <f>-('B. Bilan'!E45+'B. Bilan'!E46)+'B. Bilan'!F45</f>
        <v>0</v>
      </c>
      <c r="H39" s="29"/>
      <c r="I39" s="60">
        <f>'B. Bilan'!H45-'A. Comptes de résultats'!I34-('B. Bilan'!F45+'B. Bilan'!F46)</f>
        <v>0</v>
      </c>
      <c r="J39" s="60">
        <f>'B. Bilan'!I45-'A. Comptes de résultats'!J34-'B. Bilan'!H45</f>
        <v>0</v>
      </c>
      <c r="K39" s="60">
        <f>'B. Bilan'!J45-'A. Comptes de résultats'!K34-'B. Bilan'!I45</f>
        <v>0</v>
      </c>
      <c r="L39" s="60">
        <f>'B. Bilan'!K45-'A. Comptes de résultats'!L34-'B. Bilan'!J45</f>
        <v>0</v>
      </c>
      <c r="M39" s="60">
        <f>'B. Bilan'!L45-'A. Comptes de résultats'!M34-'B. Bilan'!K45</f>
        <v>0</v>
      </c>
    </row>
    <row r="40" spans="2:14" s="2" customFormat="1" ht="13.5" x14ac:dyDescent="0.2">
      <c r="B40" s="9" t="s">
        <v>148</v>
      </c>
      <c r="C40" s="67">
        <f>SUM(C29:C39)</f>
        <v>0</v>
      </c>
      <c r="D40" s="67"/>
      <c r="E40" s="67">
        <f>SUM(E29:E39)</f>
        <v>0</v>
      </c>
      <c r="F40" s="67"/>
      <c r="G40" s="67">
        <f>SUM(G29:G39)</f>
        <v>0</v>
      </c>
      <c r="H40" s="46"/>
      <c r="I40" s="69">
        <f>SUM(I29:I39)</f>
        <v>0</v>
      </c>
      <c r="J40" s="70">
        <f t="shared" ref="J40:M40" si="7">SUM(J29:J39)</f>
        <v>0</v>
      </c>
      <c r="K40" s="70">
        <f t="shared" si="7"/>
        <v>0</v>
      </c>
      <c r="L40" s="70">
        <f t="shared" si="7"/>
        <v>0</v>
      </c>
      <c r="M40" s="70">
        <f t="shared" si="7"/>
        <v>0</v>
      </c>
    </row>
    <row r="41" spans="2:14" s="2" customFormat="1" ht="13.5" x14ac:dyDescent="0.2">
      <c r="B41" s="2" t="s">
        <v>149</v>
      </c>
      <c r="C41" s="62">
        <f>C28+C40</f>
        <v>0</v>
      </c>
      <c r="D41" s="62"/>
      <c r="E41" s="62">
        <f>E28+E40</f>
        <v>0</v>
      </c>
      <c r="F41" s="62"/>
      <c r="G41" s="68">
        <f>G28+G40</f>
        <v>0</v>
      </c>
      <c r="H41" s="10"/>
      <c r="I41" s="68">
        <f>I28+I40</f>
        <v>0</v>
      </c>
      <c r="J41" s="62">
        <f t="shared" ref="J41:M41" si="8">J28+J40</f>
        <v>0</v>
      </c>
      <c r="K41" s="62">
        <f t="shared" si="8"/>
        <v>0</v>
      </c>
      <c r="L41" s="62">
        <f t="shared" si="8"/>
        <v>0</v>
      </c>
      <c r="M41" s="62">
        <f t="shared" si="8"/>
        <v>0</v>
      </c>
    </row>
    <row r="43" spans="2:14" s="3" customFormat="1" ht="14.25" x14ac:dyDescent="0.25">
      <c r="B43" s="3" t="s">
        <v>3</v>
      </c>
      <c r="C43" s="14">
        <f>('B. Bilan'!D8-'B. Bilan'!C8)-C41</f>
        <v>0</v>
      </c>
      <c r="E43" s="14">
        <f>('B. Bilan'!E8-'B. Bilan'!D8)-E41</f>
        <v>0</v>
      </c>
      <c r="G43" s="14">
        <f>('B. Bilan'!F8-'B. Bilan'!E8)-G41</f>
        <v>0</v>
      </c>
      <c r="I43" s="14">
        <f>('B. Bilan'!H8-'B. Bilan'!F8)-I41</f>
        <v>0</v>
      </c>
      <c r="J43" s="14">
        <f>('B. Bilan'!I8-'B. Bilan'!H8)-J41</f>
        <v>0</v>
      </c>
      <c r="K43" s="14">
        <f>('B. Bilan'!J8-'B. Bilan'!I8)-K41</f>
        <v>0</v>
      </c>
      <c r="L43" s="14">
        <f>('B. Bilan'!K8-'B. Bilan'!J8)-L41</f>
        <v>0</v>
      </c>
      <c r="M43" s="14">
        <f>('B. Bilan'!L8-'B. Bilan'!K8)-M41</f>
        <v>0</v>
      </c>
      <c r="N43" s="14"/>
    </row>
  </sheetData>
  <mergeCells count="4">
    <mergeCell ref="C6:G6"/>
    <mergeCell ref="I6:M6"/>
    <mergeCell ref="C2:G2"/>
    <mergeCell ref="C3:G3"/>
  </mergeCells>
  <pageMargins left="0.70866141732283472" right="0.70866141732283472" top="0.74803149606299213" bottom="0.74803149606299213" header="0.31496062992125984" footer="0.31496062992125984"/>
  <pageSetup paperSize="9" scale="8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B2:N30"/>
  <sheetViews>
    <sheetView showGridLines="0" tabSelected="1" zoomScale="90" zoomScaleNormal="90" workbookViewId="0">
      <selection activeCell="T18" sqref="T18"/>
    </sheetView>
  </sheetViews>
  <sheetFormatPr defaultColWidth="8.75" defaultRowHeight="15.75" outlineLevelRow="1" x14ac:dyDescent="0.3"/>
  <cols>
    <col min="1" max="1" width="4.625" customWidth="1"/>
    <col min="2" max="2" width="30.625" customWidth="1"/>
    <col min="3" max="3" width="0.75" customWidth="1"/>
    <col min="4" max="7" width="10.625" customWidth="1"/>
    <col min="8" max="8" width="0.875" customWidth="1"/>
    <col min="9" max="13" width="10.625" customWidth="1"/>
  </cols>
  <sheetData>
    <row r="2" spans="2:14" x14ac:dyDescent="0.3">
      <c r="B2" s="22" t="s">
        <v>62</v>
      </c>
      <c r="C2" s="25"/>
      <c r="D2" s="99">
        <f>'A. Comptes de résultats'!D2</f>
        <v>0</v>
      </c>
      <c r="E2" s="99"/>
      <c r="F2" s="100"/>
    </row>
    <row r="3" spans="2:14" x14ac:dyDescent="0.3">
      <c r="B3" s="20" t="s">
        <v>63</v>
      </c>
      <c r="C3" s="26"/>
      <c r="D3" s="101">
        <f>'A. Comptes de résultats'!D3</f>
        <v>44561</v>
      </c>
      <c r="E3" s="101"/>
      <c r="F3" s="102"/>
    </row>
    <row r="5" spans="2:14" x14ac:dyDescent="0.3">
      <c r="B5" s="110" t="s">
        <v>153</v>
      </c>
      <c r="C5" s="110"/>
      <c r="D5" s="110"/>
      <c r="E5" s="111"/>
      <c r="F5" s="111"/>
      <c r="G5" s="111"/>
      <c r="H5" s="111"/>
      <c r="I5" s="111"/>
      <c r="J5" s="111"/>
      <c r="K5" s="111"/>
      <c r="L5" s="111"/>
      <c r="M5" s="111"/>
    </row>
    <row r="6" spans="2:14" x14ac:dyDescent="0.3">
      <c r="B6" s="3" t="s">
        <v>0</v>
      </c>
      <c r="C6" s="3"/>
      <c r="D6" s="91" t="s">
        <v>66</v>
      </c>
      <c r="E6" s="91"/>
      <c r="F6" s="91"/>
      <c r="G6" s="91"/>
      <c r="H6" s="29"/>
      <c r="I6" s="98" t="s">
        <v>65</v>
      </c>
      <c r="J6" s="91"/>
      <c r="K6" s="91"/>
      <c r="L6" s="91"/>
      <c r="M6" s="91"/>
    </row>
    <row r="7" spans="2:14" x14ac:dyDescent="0.3">
      <c r="B7" s="5"/>
      <c r="C7" s="5"/>
      <c r="D7" s="7">
        <f>DATE(YEAR(E7)-1,MONTH(E7),DAY(E7))</f>
        <v>43465</v>
      </c>
      <c r="E7" s="7">
        <f>DATE(YEAR(F7)-1,MONTH(F7),DAY(F7))</f>
        <v>43830</v>
      </c>
      <c r="F7" s="7">
        <f>DATE(YEAR(G7)-1,MONTH(G7),DAY(G7))</f>
        <v>44196</v>
      </c>
      <c r="G7" s="7">
        <f>D3</f>
        <v>44561</v>
      </c>
      <c r="H7" s="29"/>
      <c r="I7" s="7">
        <f>'A. Comptes de résultats'!I7</f>
        <v>44926</v>
      </c>
      <c r="J7" s="7">
        <f>'A. Comptes de résultats'!J7</f>
        <v>45291</v>
      </c>
      <c r="K7" s="7">
        <f>'A. Comptes de résultats'!K7</f>
        <v>45657</v>
      </c>
      <c r="L7" s="7">
        <f>'A. Comptes de résultats'!L7</f>
        <v>46022</v>
      </c>
      <c r="M7" s="7">
        <f>'A. Comptes de résultats'!M7</f>
        <v>46387</v>
      </c>
    </row>
    <row r="8" spans="2:14" s="2" customFormat="1" ht="13.5" x14ac:dyDescent="0.2">
      <c r="B8" s="2" t="s">
        <v>68</v>
      </c>
      <c r="H8" s="30"/>
    </row>
    <row r="9" spans="2:14" x14ac:dyDescent="0.3">
      <c r="B9" t="s">
        <v>154</v>
      </c>
      <c r="D9" s="33" t="e">
        <f>'B. Bilan'!C8/'B. Bilan'!C32</f>
        <v>#DIV/0!</v>
      </c>
      <c r="E9" s="33" t="e">
        <f>'B. Bilan'!D8/'B. Bilan'!D32</f>
        <v>#DIV/0!</v>
      </c>
      <c r="F9" s="33" t="e">
        <f>'B. Bilan'!E8/'B. Bilan'!E32</f>
        <v>#DIV/0!</v>
      </c>
      <c r="G9" s="33" t="e">
        <f>'B. Bilan'!F8/'B. Bilan'!F32</f>
        <v>#DIV/0!</v>
      </c>
      <c r="H9" s="52"/>
      <c r="I9" s="33" t="e">
        <f>'B. Bilan'!H8/'B. Bilan'!H32</f>
        <v>#DIV/0!</v>
      </c>
      <c r="J9" s="33" t="e">
        <f>'B. Bilan'!I8/'B. Bilan'!I32</f>
        <v>#DIV/0!</v>
      </c>
      <c r="K9" s="33" t="e">
        <f>'B. Bilan'!J8/'B. Bilan'!J32</f>
        <v>#DIV/0!</v>
      </c>
      <c r="L9" s="33" t="e">
        <f>'B. Bilan'!K8/'B. Bilan'!K32</f>
        <v>#DIV/0!</v>
      </c>
      <c r="M9" s="33" t="e">
        <f>'B. Bilan'!L8/'B. Bilan'!L32</f>
        <v>#DIV/0!</v>
      </c>
      <c r="N9" s="33"/>
    </row>
    <row r="10" spans="2:14" x14ac:dyDescent="0.3">
      <c r="B10" t="s">
        <v>155</v>
      </c>
      <c r="D10" s="33" t="e">
        <f>('B. Bilan'!C8+'B. Bilan'!C11+'B. Bilan'!C12)/'B. Bilan'!C32</f>
        <v>#DIV/0!</v>
      </c>
      <c r="E10" s="33" t="e">
        <f>('B. Bilan'!D8+'B. Bilan'!D11+'B. Bilan'!D12)/'B. Bilan'!D32</f>
        <v>#DIV/0!</v>
      </c>
      <c r="F10" s="33" t="e">
        <f>('B. Bilan'!E8+'B. Bilan'!E11+'B. Bilan'!E12)/'B. Bilan'!E32</f>
        <v>#DIV/0!</v>
      </c>
      <c r="G10" s="33" t="e">
        <f>('B. Bilan'!F8+'B. Bilan'!F11+'B. Bilan'!F12)/'B. Bilan'!F32</f>
        <v>#DIV/0!</v>
      </c>
      <c r="H10" s="52"/>
      <c r="I10" s="33" t="e">
        <f>('B. Bilan'!H8+'B. Bilan'!H11+'B. Bilan'!H12)/'B. Bilan'!H32</f>
        <v>#DIV/0!</v>
      </c>
      <c r="J10" s="33" t="e">
        <f>('B. Bilan'!I8+'B. Bilan'!I11+'B. Bilan'!I12)/'B. Bilan'!I32</f>
        <v>#DIV/0!</v>
      </c>
      <c r="K10" s="33" t="e">
        <f>('B. Bilan'!J8+'B. Bilan'!J11+'B. Bilan'!J12)/'B. Bilan'!J32</f>
        <v>#DIV/0!</v>
      </c>
      <c r="L10" s="33" t="e">
        <f>('B. Bilan'!K8+'B. Bilan'!K11+'B. Bilan'!K12)/'B. Bilan'!K32</f>
        <v>#DIV/0!</v>
      </c>
      <c r="M10" s="33" t="e">
        <f>('B. Bilan'!L8+'B. Bilan'!L11+'B. Bilan'!L12)/'B. Bilan'!L32</f>
        <v>#DIV/0!</v>
      </c>
    </row>
    <row r="11" spans="2:14" x14ac:dyDescent="0.3">
      <c r="B11" t="s">
        <v>156</v>
      </c>
      <c r="D11" s="33" t="e">
        <f>('B. Bilan'!C8+'B. Bilan'!C11+'B. Bilan'!C12+'B. Bilan'!C13)/'B. Bilan'!C32</f>
        <v>#DIV/0!</v>
      </c>
      <c r="E11" s="33" t="e">
        <f>('B. Bilan'!D8+'B. Bilan'!D11+'B. Bilan'!D12+'B. Bilan'!D13)/'B. Bilan'!D32</f>
        <v>#DIV/0!</v>
      </c>
      <c r="F11" s="33" t="e">
        <f>('B. Bilan'!E8+'B. Bilan'!E11+'B. Bilan'!E12+'B. Bilan'!E13)/'B. Bilan'!E32</f>
        <v>#DIV/0!</v>
      </c>
      <c r="G11" s="33" t="e">
        <f>('B. Bilan'!F8+'B. Bilan'!F11+'B. Bilan'!F12+'B. Bilan'!F13)/'B. Bilan'!F32</f>
        <v>#DIV/0!</v>
      </c>
      <c r="H11" s="52"/>
      <c r="I11" s="54" t="e">
        <f>('B. Bilan'!H8+'B. Bilan'!H11+'B. Bilan'!H12+'B. Bilan'!H13)/'B. Bilan'!H32</f>
        <v>#DIV/0!</v>
      </c>
      <c r="J11" s="55" t="e">
        <f>('B. Bilan'!I8+'B. Bilan'!I11+'B. Bilan'!I12+'B. Bilan'!I13)/'B. Bilan'!I32</f>
        <v>#DIV/0!</v>
      </c>
      <c r="K11" s="55" t="e">
        <f>('B. Bilan'!J8+'B. Bilan'!J11+'B. Bilan'!J12+'B. Bilan'!J13)/'B. Bilan'!J32</f>
        <v>#DIV/0!</v>
      </c>
      <c r="L11" s="55" t="e">
        <f>('B. Bilan'!K8+'B. Bilan'!K11+'B. Bilan'!K12+'B. Bilan'!K13)/'B. Bilan'!K32</f>
        <v>#DIV/0!</v>
      </c>
      <c r="M11" s="55" t="e">
        <f>('B. Bilan'!L8+'B. Bilan'!L11+'B. Bilan'!L12+'B. Bilan'!L13)/'B. Bilan'!L32</f>
        <v>#DIV/0!</v>
      </c>
    </row>
    <row r="12" spans="2:14" s="2" customFormat="1" ht="13.5" x14ac:dyDescent="0.2">
      <c r="B12" s="13" t="s">
        <v>150</v>
      </c>
      <c r="C12" s="13"/>
      <c r="D12" s="13"/>
      <c r="E12" s="13"/>
      <c r="F12" s="13"/>
      <c r="G12" s="13"/>
      <c r="H12" s="30"/>
    </row>
    <row r="13" spans="2:14" x14ac:dyDescent="0.3">
      <c r="B13" t="s">
        <v>158</v>
      </c>
      <c r="D13" s="33" t="e">
        <f>'A. Comptes de résultats'!D11</f>
        <v>#DIV/0!</v>
      </c>
      <c r="E13" s="33" t="e">
        <f>'A. Comptes de résultats'!E11</f>
        <v>#DIV/0!</v>
      </c>
      <c r="F13" s="33" t="e">
        <f>'A. Comptes de résultats'!F11</f>
        <v>#DIV/0!</v>
      </c>
      <c r="G13" s="33" t="e">
        <f>'A. Comptes de résultats'!G11</f>
        <v>#DIV/0!</v>
      </c>
      <c r="H13" s="52"/>
      <c r="I13" s="33" t="e">
        <f>'A. Comptes de résultats'!I11</f>
        <v>#DIV/0!</v>
      </c>
      <c r="J13" s="33" t="e">
        <f>'A. Comptes de résultats'!J11</f>
        <v>#DIV/0!</v>
      </c>
      <c r="K13" s="33" t="e">
        <f>'A. Comptes de résultats'!K11</f>
        <v>#DIV/0!</v>
      </c>
      <c r="L13" s="33" t="e">
        <f>'A. Comptes de résultats'!L11</f>
        <v>#DIV/0!</v>
      </c>
      <c r="M13" s="33" t="e">
        <f>'A. Comptes de résultats'!M11</f>
        <v>#DIV/0!</v>
      </c>
    </row>
    <row r="14" spans="2:14" x14ac:dyDescent="0.3">
      <c r="B14" t="s">
        <v>157</v>
      </c>
      <c r="D14" s="33" t="e">
        <f>'A. Comptes de résultats'!D23</f>
        <v>#DIV/0!</v>
      </c>
      <c r="E14" s="33" t="e">
        <f>'A. Comptes de résultats'!E23</f>
        <v>#DIV/0!</v>
      </c>
      <c r="F14" s="33" t="e">
        <f>'A. Comptes de résultats'!F23</f>
        <v>#DIV/0!</v>
      </c>
      <c r="G14" s="33" t="e">
        <f>'A. Comptes de résultats'!G23</f>
        <v>#DIV/0!</v>
      </c>
      <c r="H14" s="52"/>
      <c r="I14" s="54" t="e">
        <f>'A. Comptes de résultats'!I23</f>
        <v>#DIV/0!</v>
      </c>
      <c r="J14" s="55" t="e">
        <f>'A. Comptes de résultats'!J23</f>
        <v>#DIV/0!</v>
      </c>
      <c r="K14" s="55" t="e">
        <f>'A. Comptes de résultats'!K23</f>
        <v>#DIV/0!</v>
      </c>
      <c r="L14" s="55" t="e">
        <f>'A. Comptes de résultats'!L23</f>
        <v>#DIV/0!</v>
      </c>
      <c r="M14" s="55" t="e">
        <f>'A. Comptes de résultats'!M23</f>
        <v>#DIV/0!</v>
      </c>
    </row>
    <row r="15" spans="2:14" s="2" customFormat="1" ht="13.5" x14ac:dyDescent="0.2">
      <c r="B15" s="13" t="s">
        <v>151</v>
      </c>
      <c r="C15" s="13"/>
      <c r="D15" s="13"/>
      <c r="E15" s="13"/>
      <c r="F15" s="13"/>
      <c r="G15" s="13"/>
      <c r="H15" s="30"/>
    </row>
    <row r="16" spans="2:14" x14ac:dyDescent="0.3">
      <c r="B16" t="s">
        <v>159</v>
      </c>
      <c r="D16" s="33" t="e">
        <f>'B. Bilan'!C46/'B. Bilan'!C48</f>
        <v>#DIV/0!</v>
      </c>
      <c r="E16" s="33" t="e">
        <f>'B. Bilan'!D46/'B. Bilan'!D48</f>
        <v>#DIV/0!</v>
      </c>
      <c r="F16" s="33" t="e">
        <f>'B. Bilan'!E46/'B. Bilan'!E48</f>
        <v>#DIV/0!</v>
      </c>
      <c r="G16" s="33" t="e">
        <f>'B. Bilan'!F46/'B. Bilan'!F48</f>
        <v>#DIV/0!</v>
      </c>
      <c r="H16" s="52"/>
      <c r="I16" s="33" t="e">
        <f>'B. Bilan'!H46/'B. Bilan'!H48</f>
        <v>#DIV/0!</v>
      </c>
      <c r="J16" s="33" t="e">
        <f>'B. Bilan'!I46/'B. Bilan'!I48</f>
        <v>#DIV/0!</v>
      </c>
      <c r="K16" s="33" t="e">
        <f>'B. Bilan'!J46/'B. Bilan'!J48</f>
        <v>#DIV/0!</v>
      </c>
      <c r="L16" s="33" t="e">
        <f>'B. Bilan'!K46/'B. Bilan'!K48</f>
        <v>#DIV/0!</v>
      </c>
      <c r="M16" s="33" t="e">
        <f>'B. Bilan'!L46/'B. Bilan'!L48</f>
        <v>#DIV/0!</v>
      </c>
    </row>
    <row r="17" spans="2:13" x14ac:dyDescent="0.3">
      <c r="B17" t="s">
        <v>161</v>
      </c>
      <c r="D17" s="33" t="e">
        <f>('A. Comptes de résultats'!D26+'A. Comptes de résultats'!D32)/'B. Bilan'!C51</f>
        <v>#DIV/0!</v>
      </c>
      <c r="E17" s="33" t="e">
        <f>('A. Comptes de résultats'!E26+'A. Comptes de résultats'!E32)/'B. Bilan'!D51</f>
        <v>#DIV/0!</v>
      </c>
      <c r="F17" s="33" t="e">
        <f>('A. Comptes de résultats'!F26+'A. Comptes de résultats'!F32)/'B. Bilan'!E51</f>
        <v>#DIV/0!</v>
      </c>
      <c r="G17" s="33" t="e">
        <f>('A. Comptes de résultats'!G26+'A. Comptes de résultats'!G32)/'B. Bilan'!F51</f>
        <v>#DIV/0!</v>
      </c>
      <c r="H17" s="52"/>
      <c r="I17" s="33" t="e">
        <f>('A. Comptes de résultats'!I26+'A. Comptes de résultats'!I32)/'B. Bilan'!H51</f>
        <v>#DIV/0!</v>
      </c>
      <c r="J17" s="33" t="e">
        <f>('A. Comptes de résultats'!J26+'A. Comptes de résultats'!J32)/'B. Bilan'!I51</f>
        <v>#DIV/0!</v>
      </c>
      <c r="K17" s="33" t="e">
        <f>('A. Comptes de résultats'!K26+'A. Comptes de résultats'!K32)/'B. Bilan'!J51</f>
        <v>#DIV/0!</v>
      </c>
      <c r="L17" s="33" t="e">
        <f>('A. Comptes de résultats'!L26+'A. Comptes de résultats'!L32)/'B. Bilan'!K51</f>
        <v>#DIV/0!</v>
      </c>
      <c r="M17" s="33" t="e">
        <f>('A. Comptes de résultats'!M26+'A. Comptes de résultats'!M32)/'B. Bilan'!L51</f>
        <v>#DIV/0!</v>
      </c>
    </row>
    <row r="18" spans="2:13" x14ac:dyDescent="0.3">
      <c r="B18" t="s">
        <v>160</v>
      </c>
      <c r="D18" s="33" t="e">
        <f>'A. Comptes de résultats'!D34/'A. Comptes de résultats'!D8</f>
        <v>#DIV/0!</v>
      </c>
      <c r="E18" s="33" t="e">
        <f>'A. Comptes de résultats'!E34/'A. Comptes de résultats'!E8</f>
        <v>#DIV/0!</v>
      </c>
      <c r="F18" s="33" t="e">
        <f>'A. Comptes de résultats'!F34/'A. Comptes de résultats'!F8</f>
        <v>#DIV/0!</v>
      </c>
      <c r="G18" s="33" t="e">
        <f>'A. Comptes de résultats'!G34/'A. Comptes de résultats'!G8</f>
        <v>#DIV/0!</v>
      </c>
      <c r="H18" s="52"/>
      <c r="I18" s="54" t="e">
        <f>'A. Comptes de résultats'!I34/'A. Comptes de résultats'!I8</f>
        <v>#DIV/0!</v>
      </c>
      <c r="J18" s="55" t="e">
        <f>'A. Comptes de résultats'!J34/'A. Comptes de résultats'!J8</f>
        <v>#DIV/0!</v>
      </c>
      <c r="K18" s="55" t="e">
        <f>'A. Comptes de résultats'!K34/'A. Comptes de résultats'!K8</f>
        <v>#DIV/0!</v>
      </c>
      <c r="L18" s="55" t="e">
        <f>'A. Comptes de résultats'!L34/'A. Comptes de résultats'!L8</f>
        <v>#DIV/0!</v>
      </c>
      <c r="M18" s="55" t="e">
        <f>'A. Comptes de résultats'!M34/'A. Comptes de résultats'!M8</f>
        <v>#DIV/0!</v>
      </c>
    </row>
    <row r="19" spans="2:13" s="2" customFormat="1" ht="13.5" x14ac:dyDescent="0.2">
      <c r="B19" s="13" t="s">
        <v>152</v>
      </c>
      <c r="C19" s="13"/>
      <c r="D19" s="13"/>
      <c r="E19" s="13"/>
      <c r="F19" s="13"/>
      <c r="G19" s="13"/>
      <c r="H19" s="30"/>
    </row>
    <row r="20" spans="2:13" x14ac:dyDescent="0.3">
      <c r="B20" t="s">
        <v>163</v>
      </c>
      <c r="D20" s="33" t="e">
        <f>'B. Bilan'!C48/'B. Bilan'!C51</f>
        <v>#DIV/0!</v>
      </c>
      <c r="E20" s="33" t="e">
        <f>'B. Bilan'!D48/'B. Bilan'!D51</f>
        <v>#DIV/0!</v>
      </c>
      <c r="F20" s="33" t="e">
        <f>'B. Bilan'!E48/'B. Bilan'!E51</f>
        <v>#DIV/0!</v>
      </c>
      <c r="G20" s="33" t="e">
        <f>'B. Bilan'!F48/'B. Bilan'!F51</f>
        <v>#DIV/0!</v>
      </c>
      <c r="H20" s="52"/>
      <c r="I20" s="33" t="e">
        <f>'B. Bilan'!H48/'B. Bilan'!H51</f>
        <v>#DIV/0!</v>
      </c>
      <c r="J20" s="33" t="e">
        <f>'B. Bilan'!I48/'B. Bilan'!I51</f>
        <v>#DIV/0!</v>
      </c>
      <c r="K20" s="33" t="e">
        <f>'B. Bilan'!J48/'B. Bilan'!J51</f>
        <v>#DIV/0!</v>
      </c>
      <c r="L20" s="33" t="e">
        <f>'B. Bilan'!K48/'B. Bilan'!K51</f>
        <v>#DIV/0!</v>
      </c>
      <c r="M20" s="33" t="e">
        <f>'B. Bilan'!L48/'B. Bilan'!L51</f>
        <v>#DIV/0!</v>
      </c>
    </row>
    <row r="21" spans="2:13" x14ac:dyDescent="0.3">
      <c r="B21" t="s">
        <v>162</v>
      </c>
      <c r="D21" s="33" t="e">
        <f>('B. Bilan'!C30+'B. Bilan'!C35+'B. Bilan'!C36+'B. Bilan'!C37)/'B. Bilan'!C48</f>
        <v>#DIV/0!</v>
      </c>
      <c r="E21" s="33" t="e">
        <f>('B. Bilan'!D30+'B. Bilan'!D35+'B. Bilan'!D36+'B. Bilan'!D37)/'B. Bilan'!D48</f>
        <v>#DIV/0!</v>
      </c>
      <c r="F21" s="33" t="e">
        <f>('B. Bilan'!E30+'B. Bilan'!E35+'B. Bilan'!E36+'B. Bilan'!E37)/'B. Bilan'!E48</f>
        <v>#DIV/0!</v>
      </c>
      <c r="G21" s="33" t="e">
        <f>('B. Bilan'!F30+'B. Bilan'!F35+'B. Bilan'!F36+'B. Bilan'!F37)/'B. Bilan'!F48</f>
        <v>#DIV/0!</v>
      </c>
      <c r="H21" s="52"/>
      <c r="I21" s="33" t="e">
        <f>('B. Bilan'!H30+'B. Bilan'!H35+'B. Bilan'!H36+'B. Bilan'!H37)/'B. Bilan'!H48</f>
        <v>#DIV/0!</v>
      </c>
      <c r="J21" s="33" t="e">
        <f>('B. Bilan'!I30+'B. Bilan'!I35+'B. Bilan'!I36+'B. Bilan'!I37)/'B. Bilan'!I48</f>
        <v>#DIV/0!</v>
      </c>
      <c r="K21" s="33" t="e">
        <f>('B. Bilan'!J30+'B. Bilan'!J35+'B. Bilan'!J36+'B. Bilan'!J37)/'B. Bilan'!J48</f>
        <v>#DIV/0!</v>
      </c>
      <c r="L21" s="33" t="e">
        <f>('B. Bilan'!K30+'B. Bilan'!K35+'B. Bilan'!K36+'B. Bilan'!K37)/'B. Bilan'!K48</f>
        <v>#DIV/0!</v>
      </c>
      <c r="M21" s="33" t="e">
        <f>('B. Bilan'!L30+'B. Bilan'!L35+'B. Bilan'!L36+'B. Bilan'!L37)/'B. Bilan'!L48</f>
        <v>#DIV/0!</v>
      </c>
    </row>
    <row r="22" spans="2:13" x14ac:dyDescent="0.3">
      <c r="B22" t="s">
        <v>167</v>
      </c>
      <c r="D22" s="33" t="e">
        <f>('B. Bilan'!C48+'B. Bilan'!C39)/'B. Bilan'!C24</f>
        <v>#DIV/0!</v>
      </c>
      <c r="E22" s="33" t="e">
        <f>('B. Bilan'!D48+'B. Bilan'!D39)/'B. Bilan'!D24</f>
        <v>#DIV/0!</v>
      </c>
      <c r="F22" s="33" t="e">
        <f>('B. Bilan'!E48+'B. Bilan'!E39)/'B. Bilan'!E24</f>
        <v>#DIV/0!</v>
      </c>
      <c r="G22" s="33" t="e">
        <f>('B. Bilan'!F48+'B. Bilan'!F39)/'B. Bilan'!F24</f>
        <v>#DIV/0!</v>
      </c>
      <c r="H22" s="52"/>
      <c r="I22" s="54" t="e">
        <f>('B. Bilan'!H48+'B. Bilan'!H39)/'B. Bilan'!H24</f>
        <v>#DIV/0!</v>
      </c>
      <c r="J22" s="55" t="e">
        <f>('B. Bilan'!I48+'B. Bilan'!I39)/'B. Bilan'!I24</f>
        <v>#DIV/0!</v>
      </c>
      <c r="K22" s="55" t="e">
        <f>('B. Bilan'!J48+'B. Bilan'!J39)/'B. Bilan'!J24</f>
        <v>#DIV/0!</v>
      </c>
      <c r="L22" s="55" t="e">
        <f>('B. Bilan'!K48+'B. Bilan'!K39)/'B. Bilan'!K24</f>
        <v>#DIV/0!</v>
      </c>
      <c r="M22" s="55" t="e">
        <f>('B. Bilan'!L48+'B. Bilan'!L39)/'B. Bilan'!L24</f>
        <v>#DIV/0!</v>
      </c>
    </row>
    <row r="23" spans="2:13" x14ac:dyDescent="0.3">
      <c r="B23" s="13" t="s">
        <v>166</v>
      </c>
      <c r="C23" s="38"/>
      <c r="D23" s="38"/>
      <c r="E23" s="38"/>
      <c r="F23" s="38"/>
      <c r="G23" s="38"/>
      <c r="H23" s="29"/>
    </row>
    <row r="24" spans="2:13" x14ac:dyDescent="0.3">
      <c r="B24" t="s">
        <v>164</v>
      </c>
      <c r="D24" s="39" t="e">
        <f>('B. Bilan'!C30+'B. Bilan'!C35+'B. Bilan'!C36+'B. Bilan'!C37)/'A. Comptes de résultats'!D22</f>
        <v>#DIV/0!</v>
      </c>
      <c r="E24" s="39" t="e">
        <f>('B. Bilan'!D30+'B. Bilan'!D35+'B. Bilan'!D36+'B. Bilan'!D37)/'A. Comptes de résultats'!E22</f>
        <v>#DIV/0!</v>
      </c>
      <c r="F24" s="39" t="e">
        <f>('B. Bilan'!E30+'B. Bilan'!E35+'B. Bilan'!E36+'B. Bilan'!E37)/'A. Comptes de résultats'!F22</f>
        <v>#DIV/0!</v>
      </c>
      <c r="G24" s="39" t="e">
        <f>('B. Bilan'!F30+'B. Bilan'!F35+'B. Bilan'!F36+'B. Bilan'!F37)/'A. Comptes de résultats'!G22</f>
        <v>#DIV/0!</v>
      </c>
      <c r="H24" s="53"/>
      <c r="I24" s="39" t="e">
        <f>('B. Bilan'!H30+'B. Bilan'!H35+'B. Bilan'!H36+'B. Bilan'!H37)/'A. Comptes de résultats'!I22</f>
        <v>#DIV/0!</v>
      </c>
      <c r="J24" s="39" t="e">
        <f>('B. Bilan'!I30+'B. Bilan'!I35+'B. Bilan'!I36+'B. Bilan'!I37)/'A. Comptes de résultats'!J22</f>
        <v>#DIV/0!</v>
      </c>
      <c r="K24" s="39" t="e">
        <f>('B. Bilan'!J30+'B. Bilan'!J35+'B. Bilan'!J36+'B. Bilan'!J37)/'A. Comptes de résultats'!K22</f>
        <v>#DIV/0!</v>
      </c>
      <c r="L24" s="39" t="e">
        <f>('B. Bilan'!K30+'B. Bilan'!K35+'B. Bilan'!K36+'B. Bilan'!K37)/'A. Comptes de résultats'!L22</f>
        <v>#DIV/0!</v>
      </c>
      <c r="M24" s="39" t="e">
        <f>('B. Bilan'!L30+'B. Bilan'!L35+'B. Bilan'!L36+'B. Bilan'!L37)/'A. Comptes de résultats'!M22</f>
        <v>#DIV/0!</v>
      </c>
    </row>
    <row r="25" spans="2:13" x14ac:dyDescent="0.3">
      <c r="B25" s="6" t="s">
        <v>165</v>
      </c>
      <c r="C25" s="6"/>
      <c r="D25" s="58" t="e">
        <f>(('B. Bilan'!C30+'B. Bilan'!C35+'B. Bilan'!C36+'B. Bilan'!C37)-'B. Bilan'!C8)/'A. Comptes de résultats'!D22</f>
        <v>#DIV/0!</v>
      </c>
      <c r="E25" s="58" t="e">
        <f>(('B. Bilan'!D30+'B. Bilan'!D35+'B. Bilan'!D36+'B. Bilan'!D37)-'B. Bilan'!D8)/'A. Comptes de résultats'!E22</f>
        <v>#DIV/0!</v>
      </c>
      <c r="F25" s="58" t="e">
        <f>(('B. Bilan'!E30+'B. Bilan'!E35+'B. Bilan'!E36+'B. Bilan'!E37)-'B. Bilan'!E8)/'A. Comptes de résultats'!F22</f>
        <v>#DIV/0!</v>
      </c>
      <c r="G25" s="59" t="e">
        <f>(('B. Bilan'!F30+'B. Bilan'!F35+'B. Bilan'!F36+'B. Bilan'!F37)-'B. Bilan'!F8)/'A. Comptes de résultats'!G22</f>
        <v>#DIV/0!</v>
      </c>
      <c r="H25" s="53"/>
      <c r="I25" s="57" t="e">
        <f>(('B. Bilan'!H30+'B. Bilan'!H35+'B. Bilan'!H36+'B. Bilan'!H37)-'B. Bilan'!H8)/'A. Comptes de résultats'!I22</f>
        <v>#DIV/0!</v>
      </c>
      <c r="J25" s="58" t="e">
        <f>(('B. Bilan'!I30+'B. Bilan'!I35+'B. Bilan'!I36+'B. Bilan'!I37)-'B. Bilan'!I8)/'A. Comptes de résultats'!J22</f>
        <v>#DIV/0!</v>
      </c>
      <c r="K25" s="58" t="e">
        <f>(('B. Bilan'!J30+'B. Bilan'!J35+'B. Bilan'!J36+'B. Bilan'!J37)-'B. Bilan'!J8)/'A. Comptes de résultats'!K22</f>
        <v>#DIV/0!</v>
      </c>
      <c r="L25" s="58" t="e">
        <f>(('B. Bilan'!K30+'B. Bilan'!K35+'B. Bilan'!K36+'B. Bilan'!K37)-'B. Bilan'!K8)/'A. Comptes de résultats'!L22</f>
        <v>#DIV/0!</v>
      </c>
      <c r="M25" s="58" t="e">
        <f>(('B. Bilan'!L30+'B. Bilan'!L35+'B. Bilan'!L36+'B. Bilan'!L37)-'B. Bilan'!L8)/'A. Comptes de résultats'!M22</f>
        <v>#DIV/0!</v>
      </c>
    </row>
    <row r="26" spans="2:13" s="2" customFormat="1" ht="13.5" hidden="1" outlineLevel="1" x14ac:dyDescent="0.2">
      <c r="B26" s="13" t="s">
        <v>7</v>
      </c>
      <c r="C26" s="13"/>
      <c r="D26" s="13"/>
      <c r="E26" s="13"/>
      <c r="F26" s="13"/>
      <c r="G26" s="13"/>
      <c r="H26" s="30"/>
    </row>
    <row r="27" spans="2:13" hidden="1" outlineLevel="1" x14ac:dyDescent="0.3">
      <c r="B27" t="s">
        <v>8</v>
      </c>
      <c r="D27" s="40" t="e">
        <f>('B. Bilan'!C11/'A. Comptes de résultats'!D8)*360</f>
        <v>#DIV/0!</v>
      </c>
      <c r="E27" s="40" t="e">
        <f>('B. Bilan'!D11/'A. Comptes de résultats'!E8)*360</f>
        <v>#DIV/0!</v>
      </c>
      <c r="F27" s="40" t="e">
        <f>('B. Bilan'!E11/'A. Comptes de résultats'!F8)*360</f>
        <v>#DIV/0!</v>
      </c>
      <c r="G27" s="40" t="e">
        <f>('B. Bilan'!F11/'A. Comptes de résultats'!G8)*360</f>
        <v>#DIV/0!</v>
      </c>
      <c r="H27" s="40"/>
      <c r="I27" s="40" t="e">
        <f>('B. Bilan'!H11/'A. Comptes de résultats'!I8)*360</f>
        <v>#DIV/0!</v>
      </c>
      <c r="J27" s="40" t="e">
        <f>('B. Bilan'!I11/'A. Comptes de résultats'!J8)*360</f>
        <v>#DIV/0!</v>
      </c>
      <c r="K27" s="40" t="e">
        <f>('B. Bilan'!J11/'A. Comptes de résultats'!K8)*360</f>
        <v>#DIV/0!</v>
      </c>
      <c r="L27" s="40" t="e">
        <f>('B. Bilan'!K11/'A. Comptes de résultats'!L8)*360</f>
        <v>#DIV/0!</v>
      </c>
      <c r="M27" s="40" t="e">
        <f>('B. Bilan'!L11/'A. Comptes de résultats'!M8)*360</f>
        <v>#DIV/0!</v>
      </c>
    </row>
    <row r="28" spans="2:13" hidden="1" outlineLevel="1" x14ac:dyDescent="0.3">
      <c r="B28" t="s">
        <v>9</v>
      </c>
      <c r="D28" s="40" t="e">
        <f>('B. Bilan'!C27/-'A. Comptes de résultats'!D9)*360</f>
        <v>#DIV/0!</v>
      </c>
      <c r="E28" s="40" t="e">
        <f>('B. Bilan'!D27/-'A. Comptes de résultats'!E9)*360</f>
        <v>#DIV/0!</v>
      </c>
      <c r="F28" s="40" t="e">
        <f>('B. Bilan'!E27/-'A. Comptes de résultats'!F9)*360</f>
        <v>#DIV/0!</v>
      </c>
      <c r="G28" s="40" t="e">
        <f>('B. Bilan'!F27/-'A. Comptes de résultats'!G9)*360</f>
        <v>#DIV/0!</v>
      </c>
      <c r="H28" s="40"/>
      <c r="I28" s="40" t="e">
        <f>('B. Bilan'!H27/-'A. Comptes de résultats'!I9)*360</f>
        <v>#DIV/0!</v>
      </c>
      <c r="J28" s="40" t="e">
        <f>('B. Bilan'!I27/-'A. Comptes de résultats'!J9)*360</f>
        <v>#DIV/0!</v>
      </c>
      <c r="K28" s="40" t="e">
        <f>('B. Bilan'!J27/-'A. Comptes de résultats'!K9)*360</f>
        <v>#DIV/0!</v>
      </c>
      <c r="L28" s="40" t="e">
        <f>('B. Bilan'!K27/-'A. Comptes de résultats'!L9)*360</f>
        <v>#DIV/0!</v>
      </c>
      <c r="M28" s="40" t="e">
        <f>('B. Bilan'!L27/-'A. Comptes de résultats'!M9)*360</f>
        <v>#DIV/0!</v>
      </c>
    </row>
    <row r="29" spans="2:13" hidden="1" outlineLevel="1" x14ac:dyDescent="0.3">
      <c r="B29" t="s">
        <v>10</v>
      </c>
      <c r="D29" s="40" t="e">
        <f>('B. Bilan'!C13/-'A. Comptes de résultats'!D9)*360</f>
        <v>#DIV/0!</v>
      </c>
      <c r="E29" s="40" t="e">
        <f>('B. Bilan'!D13/-'A. Comptes de résultats'!E9)*360</f>
        <v>#DIV/0!</v>
      </c>
      <c r="F29" s="40" t="e">
        <f>('B. Bilan'!E13/-'A. Comptes de résultats'!F9)*360</f>
        <v>#DIV/0!</v>
      </c>
      <c r="G29" s="40" t="e">
        <f>('B. Bilan'!F13/-'A. Comptes de résultats'!G9)*360</f>
        <v>#DIV/0!</v>
      </c>
      <c r="H29" s="40"/>
      <c r="I29" s="40" t="e">
        <f>('B. Bilan'!H13/-'A. Comptes de résultats'!I9)*360</f>
        <v>#DIV/0!</v>
      </c>
      <c r="J29" s="40" t="e">
        <f>('B. Bilan'!I13/-'A. Comptes de résultats'!J9)*360</f>
        <v>#DIV/0!</v>
      </c>
      <c r="K29" s="40" t="e">
        <f>('B. Bilan'!J13/-'A. Comptes de résultats'!K9)*360</f>
        <v>#DIV/0!</v>
      </c>
      <c r="L29" s="40" t="e">
        <f>('B. Bilan'!K13/-'A. Comptes de résultats'!L9)*360</f>
        <v>#DIV/0!</v>
      </c>
      <c r="M29" s="40" t="e">
        <f>('B. Bilan'!L13/-'A. Comptes de résultats'!M9)*360</f>
        <v>#DIV/0!</v>
      </c>
    </row>
    <row r="30" spans="2:13" collapsed="1" x14ac:dyDescent="0.3"/>
  </sheetData>
  <mergeCells count="4">
    <mergeCell ref="D6:G6"/>
    <mergeCell ref="I6:M6"/>
    <mergeCell ref="D2:F2"/>
    <mergeCell ref="D3:F3"/>
  </mergeCells>
  <pageMargins left="0.70866141732283472" right="0.70866141732283472" top="0.74803149606299213" bottom="0.74803149606299213" header="0.31496062992125984" footer="0.31496062992125984"/>
  <pageSetup paperSize="9" scale="94" orientation="landscape" verticalDpi="597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PresentationFormat>1dec9796-56f1-4d92-a871-ae3d857e936f</PresentationFormat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 Me</vt:lpstr>
      <vt:lpstr>A. Comptes de résultats</vt:lpstr>
      <vt:lpstr>B. Bilan</vt:lpstr>
      <vt:lpstr>C. Bilan prévisionnel</vt:lpstr>
      <vt:lpstr>D. Tableau de flux de fonds</vt:lpstr>
      <vt:lpstr>E. Ratios</vt:lpstr>
    </vt:vector>
  </TitlesOfParts>
  <Company>UBS AG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D-Amico, Claudio</dc:creator>
  <cp:lastModifiedBy>Adamczyk, Elzbieta</cp:lastModifiedBy>
  <dcterms:created xsi:type="dcterms:W3CDTF">2018-09-13T08:44:58Z</dcterms:created>
  <dcterms:modified xsi:type="dcterms:W3CDTF">2023-02-21T09:10:16Z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Language">
    <vt:lpwstr>1033</vt:lpwstr>
  </property>
  <property fmtid="{D5CDD505-2E9C-101B-9397-08002B2CF9AE}" pid="3" name="Create_Backup">
    <vt:lpwstr>3</vt:lpwstr>
  </property>
  <property fmtid="{D5CDD505-2E9C-101B-9397-08002B2CF9AE}" pid="4" name="Workbook_Font">
    <vt:lpwstr>Frutiger 45 Light</vt:lpwstr>
  </property>
  <property fmtid="{D5CDD505-2E9C-101B-9397-08002B2CF9AE}" pid="5" name="Workbook_FontSize">
    <vt:lpwstr>10</vt:lpwstr>
  </property>
  <property fmtid="{D5CDD505-2E9C-101B-9397-08002B2CF9AE}" pid="6" name="Average_Translated">
    <vt:lpwstr>Average</vt:lpwstr>
  </property>
  <property fmtid="{D5CDD505-2E9C-101B-9397-08002B2CF9AE}" pid="7" name="Thick_Lines">
    <vt:lpwstr>0</vt:lpwstr>
  </property>
  <property fmtid="{D5CDD505-2E9C-101B-9397-08002B2CF9AE}" pid="8" name="Num_Categories_On_XAxis">
    <vt:lpwstr>6</vt:lpwstr>
  </property>
  <property fmtid="{D5CDD505-2E9C-101B-9397-08002B2CF9AE}" pid="9" name="Share_PX_Label">
    <vt:lpwstr>Stock price</vt:lpwstr>
  </property>
  <property fmtid="{D5CDD505-2E9C-101B-9397-08002B2CF9AE}" pid="10" name="Volume_Label">
    <vt:lpwstr>Volume (000s)</vt:lpwstr>
  </property>
  <property fmtid="{D5CDD505-2E9C-101B-9397-08002B2CF9AE}" pid="11" name="Stock_Volume_XAxis_Label">
    <vt:lpwstr>Closing date</vt:lpwstr>
  </property>
  <property fmtid="{D5CDD505-2E9C-101B-9397-08002B2CF9AE}" pid="12" name="Pie_Chart_Labels">
    <vt:lpwstr>-1</vt:lpwstr>
  </property>
  <property fmtid="{D5CDD505-2E9C-101B-9397-08002B2CF9AE}" pid="13" name="Pie_Chart_Legend">
    <vt:lpwstr>0</vt:lpwstr>
  </property>
  <property fmtid="{D5CDD505-2E9C-101B-9397-08002B2CF9AE}" pid="14" name="Annotation_Add_Date">
    <vt:lpwstr>-1</vt:lpwstr>
  </property>
  <property fmtid="{D5CDD505-2E9C-101B-9397-08002B2CF9AE}" pid="15" name="Annotation_Date_Bold">
    <vt:lpwstr>-1</vt:lpwstr>
  </property>
  <property fmtid="{D5CDD505-2E9C-101B-9397-08002B2CF9AE}" pid="16" name="Annotation_Date_Format">
    <vt:lpwstr>F1</vt:lpwstr>
  </property>
  <property fmtid="{D5CDD505-2E9C-101B-9397-08002B2CF9AE}" pid="17" name="ShowGridlines">
    <vt:lpwstr>-1</vt:lpwstr>
  </property>
  <property fmtid="{D5CDD505-2E9C-101B-9397-08002B2CF9AE}" pid="18" name="ShowYAxis">
    <vt:lpwstr>0</vt:lpwstr>
  </property>
  <property fmtid="{D5CDD505-2E9C-101B-9397-08002B2CF9AE}" pid="19" name="UseStackWhiteBorder">
    <vt:lpwstr>-1</vt:lpwstr>
  </property>
  <property fmtid="{D5CDD505-2E9C-101B-9397-08002B2CF9AE}" pid="20" name="UseDashStyle">
    <vt:lpwstr>0</vt:lpwstr>
  </property>
  <property fmtid="{D5CDD505-2E9C-101B-9397-08002B2CF9AE}" pid="21" name="Signature">
    <vt:lpwstr>HqpXqvf65Z/g4daNHEhZhts+wpw9PvjprWyGnLwO2WIXXmgIz42d/321D3bJyMD8J6PyLVnNF+R/btfs7mG4FQ==</vt:lpwstr>
  </property>
  <property fmtid="{D5CDD505-2E9C-101B-9397-08002B2CF9AE}" pid="22" name="_SIProp12DataClass+cc5a530f-41a6-45ea-9bc4-32c4db9fb913">
    <vt:lpwstr>v=1.2&gt;I=cc5a530f-41a6-45ea-9bc4-32c4db9fb913&amp;N=NotProtectedAttachment&amp;V=1.3&amp;U=System&amp;D=System&amp;A=Associated&amp;H=False</vt:lpwstr>
  </property>
  <property fmtid="{D5CDD505-2E9C-101B-9397-08002B2CF9AE}" pid="23" name="IQP_Classification">
    <vt:lpwstr>NotProtectedAttachment</vt:lpwstr>
  </property>
</Properties>
</file>